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openxmlformats.org/officeDocument/2006/relationships" xmlns:ns4="http://schemas.microsoft.com/office/spreadsheetml/2018/calcfeatures" ns1:Ignorable="x15">
  <ns0:fileVersion appName="xl" lastEdited="6" lowestEdited="5" rupBuild="14420"/>
  <ns0:workbookPr/>
  <ns1:AlternateContent>
    <ns1:Choice Requires="x15">
      <ns2:absPath url="C:\Users\LUBS\Documents\Boat\Spensa\"/>
    </ns1:Choice>
  </ns1:AlternateContent>
  <ns0:bookViews>
    <ns0:workbookView xWindow="0" yWindow="0" windowWidth="20490" windowHeight="6450" tabRatio="598"/>
  </ns0:bookViews>
  <ns0:sheets>
    <ns0:sheet name="JAN 1285" sheetId="1" ns3:id="rId1"/>
  </ns0:sheets>
  <ns0:definedNames>
    <ns0:definedName name="_xlnm._FilterDatabase" localSheetId="5" hidden="1">'APRIL 1285'!$F$3:$AQ$3</ns0:definedName>
    <ns0:definedName name="_xlnm._FilterDatabase" localSheetId="0" hidden="1">'JAN 1285'!$A$1:$U$14</ns0:definedName>
  </ns0:definedNames>
  <ns0:calcPr calcId="162913"/>
  <ns0:extLst>
    <ns0:ext uri="{B58B0392-4F1F-4190-BB64-5DF3571DCE5F}">
      <ns4:calcFeatures>
        <ns4:feature name="microsoft.com:RD"/>
        <ns4:feature name="microsoft.com:Single"/>
        <ns4:feature name="microsoft.com:FV"/>
        <ns4:feature name="microsoft.com:CNMTM"/>
        <ns4:feature name="microsoft.com:LET_WF"/>
        <ns4:feature name="microsoft.com:LAMBDA_WF"/>
        <ns4:feature name="microsoft.com:ARRAYTEXT_WF"/>
      </ns4:calcFeatures>
    </ns0:ext>
  </ns0:extLst>
</ns0:workbook>
</file>

<file path=xl/calcChain.xml><?xml version="1.0" encoding="utf-8"?>
<calcChain xmlns="http://schemas.openxmlformats.org/spreadsheetml/2006/main">
  <c r="F21" i="38" l="1"/>
  <c r="E21" i="38"/>
  <c r="F17" i="38"/>
  <c r="E17" i="38"/>
  <c r="F15" i="38"/>
  <c r="E15" i="38"/>
  <c r="F7" i="38"/>
  <c r="E7" i="38"/>
  <c r="G5" i="38"/>
  <c r="F5" i="38"/>
  <c r="E5" i="38"/>
  <c r="AE10" i="37"/>
  <c r="H10" i="37"/>
  <c r="AE9" i="37"/>
  <c r="O9" i="37"/>
  <c r="AE8" i="37"/>
  <c r="N8" i="37"/>
  <c r="AE7" i="37"/>
  <c r="AE6" i="37"/>
  <c r="M6" i="37"/>
  <c r="AE5" i="37"/>
  <c r="AE4" i="37"/>
  <c r="AE3" i="37"/>
  <c r="K3" i="37"/>
  <c r="AD34" i="36"/>
  <c r="AC34" i="36"/>
  <c r="AB34" i="36"/>
  <c r="AA34" i="36"/>
  <c r="Z34" i="36"/>
  <c r="Y34" i="36"/>
  <c r="X34" i="36"/>
  <c r="W34" i="36"/>
  <c r="V34" i="36"/>
  <c r="U34" i="36"/>
  <c r="T34" i="36"/>
  <c r="S34" i="36"/>
  <c r="R34" i="36"/>
  <c r="Q34" i="36"/>
  <c r="P34" i="36"/>
  <c r="O34" i="36"/>
  <c r="N34" i="36"/>
  <c r="M34" i="36"/>
  <c r="L34" i="36"/>
  <c r="K34" i="36"/>
  <c r="J34" i="36"/>
  <c r="I34" i="36"/>
  <c r="H34" i="36"/>
  <c r="G34" i="36"/>
  <c r="F34" i="36"/>
  <c r="E34" i="36"/>
  <c r="AD33" i="36"/>
  <c r="V33" i="36"/>
  <c r="E33" i="36"/>
  <c r="AD32" i="36"/>
  <c r="AD31" i="36"/>
  <c r="U31" i="36"/>
  <c r="AD30" i="36"/>
  <c r="AD29" i="36"/>
  <c r="AD28" i="36"/>
  <c r="AD27" i="36"/>
  <c r="AD26" i="36"/>
  <c r="AD25" i="36"/>
  <c r="M25" i="36"/>
  <c r="AD24" i="36"/>
  <c r="AD23" i="36"/>
  <c r="U23" i="36"/>
  <c r="AD22" i="36"/>
  <c r="O22" i="36"/>
  <c r="AD21" i="36"/>
  <c r="AD20" i="36"/>
  <c r="O20" i="36"/>
  <c r="AD19" i="36"/>
  <c r="AB19" i="36"/>
  <c r="AD18" i="36"/>
  <c r="AD17" i="36"/>
  <c r="X17" i="36"/>
  <c r="AD16" i="36"/>
  <c r="W16" i="36"/>
  <c r="AD15" i="36"/>
  <c r="P15" i="36"/>
  <c r="AD14" i="36"/>
  <c r="AD13" i="36"/>
  <c r="AD12" i="36"/>
  <c r="Z12" i="36"/>
  <c r="AD11" i="36"/>
  <c r="S11" i="36"/>
  <c r="AD10" i="36"/>
  <c r="AD9" i="36"/>
  <c r="T9" i="36"/>
  <c r="AD8" i="36"/>
  <c r="U8" i="36"/>
  <c r="AD7" i="36"/>
  <c r="AD6" i="36"/>
  <c r="AD5" i="36"/>
  <c r="AD4" i="36"/>
  <c r="AD3" i="36"/>
  <c r="I8" i="25"/>
  <c r="H8" i="25"/>
  <c r="G8" i="25"/>
  <c r="F8" i="25"/>
  <c r="E8" i="25"/>
  <c r="I7" i="25"/>
  <c r="H7" i="25"/>
  <c r="E7" i="25"/>
  <c r="I6" i="25"/>
  <c r="G6" i="25"/>
  <c r="I5" i="25"/>
  <c r="F5" i="25"/>
  <c r="I4" i="25"/>
  <c r="G4" i="25"/>
  <c r="I3" i="25"/>
  <c r="F8" i="24"/>
  <c r="E8" i="24"/>
  <c r="G5" i="24"/>
  <c r="F5" i="24"/>
  <c r="E5" i="24"/>
  <c r="F9" i="23"/>
  <c r="E9" i="23"/>
  <c r="G6" i="23"/>
  <c r="F6" i="23"/>
  <c r="E6" i="23"/>
  <c r="F14" i="22"/>
  <c r="E14" i="22"/>
  <c r="G11" i="22"/>
  <c r="F11" i="22"/>
  <c r="E11" i="22"/>
  <c r="J8" i="9"/>
  <c r="I8" i="9"/>
  <c r="H8" i="9"/>
  <c r="G8" i="9"/>
  <c r="F8" i="9"/>
  <c r="E8" i="9"/>
  <c r="I7" i="9"/>
  <c r="I6" i="9"/>
  <c r="I5" i="9"/>
  <c r="G5" i="9"/>
  <c r="E5" i="9"/>
  <c r="I4" i="9"/>
  <c r="I3" i="9"/>
  <c r="F7" i="8"/>
  <c r="E7" i="8"/>
  <c r="G4" i="8"/>
  <c r="F4" i="8"/>
  <c r="E4" i="8"/>
  <c r="I8" i="34"/>
  <c r="H8" i="34"/>
  <c r="G8" i="34"/>
  <c r="F8" i="34"/>
  <c r="E8" i="34"/>
  <c r="I7" i="34"/>
  <c r="E7" i="34"/>
  <c r="I6" i="34"/>
  <c r="I5" i="34"/>
  <c r="I4" i="34"/>
  <c r="I3" i="34"/>
  <c r="L10" i="35"/>
  <c r="K10" i="35"/>
  <c r="J10" i="35"/>
  <c r="I10" i="35"/>
  <c r="H10" i="35"/>
  <c r="G10" i="35"/>
  <c r="F10" i="35"/>
  <c r="E10" i="35"/>
  <c r="K9" i="35"/>
  <c r="L8" i="35"/>
  <c r="L7" i="35"/>
  <c r="L6" i="35"/>
  <c r="L5" i="35"/>
  <c r="I5" i="35"/>
  <c r="H5" i="35"/>
  <c r="L4" i="35"/>
  <c r="L3" i="35"/>
  <c r="H5" i="33"/>
  <c r="G5" i="33"/>
  <c r="F5" i="33"/>
  <c r="G4" i="33"/>
  <c r="H3" i="33"/>
  <c r="F5" i="7"/>
  <c r="E5" i="7"/>
  <c r="E4" i="7"/>
  <c r="AA27" i="6"/>
  <c r="AA26" i="6"/>
  <c r="AA25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AA23" i="6"/>
  <c r="AA22" i="6"/>
  <c r="L22" i="6"/>
  <c r="J22" i="6"/>
  <c r="I22" i="6"/>
  <c r="H22" i="6"/>
  <c r="G22" i="6"/>
  <c r="AA21" i="6"/>
  <c r="AA20" i="6"/>
  <c r="AA19" i="6"/>
  <c r="AA18" i="6"/>
  <c r="AA17" i="6"/>
  <c r="AA16" i="6"/>
  <c r="AA15" i="6"/>
  <c r="R15" i="6"/>
  <c r="P15" i="6"/>
  <c r="N15" i="6"/>
  <c r="AA14" i="6"/>
  <c r="AA13" i="6"/>
  <c r="AA12" i="6"/>
  <c r="AA11" i="6"/>
  <c r="AA10" i="6"/>
  <c r="AA9" i="6"/>
  <c r="AA8" i="6"/>
  <c r="AA7" i="6"/>
  <c r="AA6" i="6"/>
  <c r="AA5" i="6"/>
  <c r="AA4" i="6"/>
  <c r="I9" i="10"/>
  <c r="H9" i="10"/>
  <c r="G9" i="10"/>
  <c r="F9" i="10"/>
  <c r="E9" i="10"/>
  <c r="I8" i="10"/>
  <c r="I7" i="10"/>
  <c r="G7" i="10"/>
  <c r="I6" i="10"/>
  <c r="I5" i="10"/>
  <c r="I4" i="10"/>
  <c r="I3" i="10"/>
  <c r="H4" i="11"/>
  <c r="F4" i="11"/>
  <c r="AZ5" i="17"/>
  <c r="AZ4" i="17"/>
  <c r="AZ3" i="17"/>
  <c r="BC94" i="16"/>
  <c r="BB94" i="16"/>
  <c r="BA94" i="16"/>
  <c r="AZ94" i="16"/>
  <c r="AY94" i="16"/>
  <c r="AX94" i="16"/>
  <c r="AW94" i="16"/>
  <c r="AV94" i="16"/>
  <c r="AU94" i="16"/>
  <c r="AT94" i="16"/>
  <c r="AS94" i="16"/>
  <c r="AR94" i="16"/>
  <c r="AQ94" i="16"/>
  <c r="AP94" i="16"/>
  <c r="AO94" i="16"/>
  <c r="AN94" i="16"/>
  <c r="AM94" i="16"/>
  <c r="AL94" i="16"/>
  <c r="AK94" i="16"/>
  <c r="AJ94" i="16"/>
  <c r="AI94" i="16"/>
  <c r="AH94" i="16"/>
  <c r="AG94" i="16"/>
  <c r="AF94" i="16"/>
  <c r="AE94" i="16"/>
  <c r="AD94" i="16"/>
  <c r="AC94" i="16"/>
  <c r="AB94" i="16"/>
  <c r="AA94" i="16"/>
  <c r="Z94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BC93" i="16"/>
  <c r="BC92" i="16"/>
  <c r="BC91" i="16"/>
  <c r="BC90" i="16"/>
  <c r="BC89" i="16"/>
  <c r="BC88" i="16"/>
  <c r="BC87" i="16"/>
  <c r="BC86" i="16"/>
  <c r="BC85" i="16"/>
  <c r="BC84" i="16"/>
  <c r="BC83" i="16"/>
  <c r="BC82" i="16"/>
  <c r="BC81" i="16"/>
  <c r="BC80" i="16"/>
  <c r="BA80" i="16"/>
  <c r="BC79" i="16"/>
  <c r="BC78" i="16"/>
  <c r="T78" i="16"/>
  <c r="BC77" i="16"/>
  <c r="BC76" i="16"/>
  <c r="BC75" i="16"/>
  <c r="BC74" i="16"/>
  <c r="BC73" i="16"/>
  <c r="BC72" i="16"/>
  <c r="BC71" i="16"/>
  <c r="BC70" i="16"/>
  <c r="BC69" i="16"/>
  <c r="BC68" i="16"/>
  <c r="BC67" i="16"/>
  <c r="BC66" i="16"/>
  <c r="BC65" i="16"/>
  <c r="BC64" i="16"/>
  <c r="BC63" i="16"/>
  <c r="BC62" i="16"/>
  <c r="BC61" i="16"/>
  <c r="BC60" i="16"/>
  <c r="V60" i="16"/>
  <c r="BC59" i="16"/>
  <c r="BC58" i="16"/>
  <c r="BC57" i="16"/>
  <c r="BC56" i="16"/>
  <c r="BC55" i="16"/>
  <c r="BC54" i="16"/>
  <c r="BC53" i="16"/>
  <c r="BC52" i="16"/>
  <c r="BC51" i="16"/>
  <c r="BC50" i="16"/>
  <c r="BC49" i="16"/>
  <c r="BC48" i="16"/>
  <c r="BC47" i="16"/>
  <c r="BC46" i="16"/>
  <c r="BC45" i="16"/>
  <c r="BC44" i="16"/>
  <c r="BC43" i="16"/>
  <c r="BC42" i="16"/>
  <c r="BC41" i="16"/>
  <c r="BC40" i="16"/>
  <c r="BC39" i="16"/>
  <c r="BC38" i="16"/>
  <c r="AE38" i="16"/>
  <c r="Z38" i="16"/>
  <c r="Y38" i="16"/>
  <c r="BC37" i="16"/>
  <c r="BC36" i="16"/>
  <c r="BC35" i="16"/>
  <c r="BC34" i="16"/>
  <c r="BC33" i="16"/>
  <c r="BC32" i="16"/>
  <c r="BC31" i="16"/>
  <c r="BC30" i="16"/>
  <c r="BC29" i="16"/>
  <c r="BC28" i="16"/>
  <c r="BC27" i="16"/>
  <c r="BC26" i="16"/>
  <c r="AR26" i="16"/>
  <c r="BC25" i="16"/>
  <c r="AO25" i="16"/>
  <c r="AN25" i="16"/>
  <c r="AL25" i="16"/>
  <c r="AK25" i="16"/>
  <c r="BC24" i="16"/>
  <c r="BC23" i="16"/>
  <c r="BC22" i="16"/>
  <c r="BC21" i="16"/>
  <c r="BC20" i="16"/>
  <c r="AU20" i="16"/>
  <c r="AT20" i="16"/>
  <c r="BC19" i="16"/>
  <c r="BC18" i="16"/>
  <c r="BC17" i="16"/>
  <c r="BC16" i="16"/>
  <c r="F16" i="16"/>
  <c r="BC15" i="16"/>
  <c r="BC14" i="16"/>
  <c r="AO14" i="16"/>
  <c r="AM14" i="16"/>
  <c r="BC13" i="16"/>
  <c r="BC12" i="16"/>
  <c r="BC11" i="16"/>
  <c r="BC10" i="16"/>
  <c r="CA9" i="16"/>
  <c r="BC9" i="16"/>
  <c r="CB8" i="16"/>
  <c r="BC8" i="16"/>
  <c r="BC7" i="16"/>
  <c r="CB6" i="16"/>
  <c r="BC6" i="16"/>
  <c r="CB5" i="16"/>
  <c r="BC5" i="16"/>
  <c r="CB4" i="16"/>
  <c r="BC4" i="16"/>
  <c r="CB3" i="16"/>
  <c r="BC3" i="16"/>
  <c r="BX221" i="15"/>
  <c r="BX220" i="15"/>
  <c r="BX219" i="15"/>
  <c r="BX218" i="15"/>
  <c r="BX217" i="15"/>
  <c r="BX216" i="15"/>
  <c r="BX215" i="15"/>
  <c r="BX214" i="15"/>
  <c r="BX213" i="15"/>
  <c r="BX212" i="15"/>
  <c r="BX211" i="15"/>
  <c r="BX210" i="15"/>
  <c r="BX209" i="15"/>
  <c r="BX208" i="15"/>
  <c r="BX207" i="15"/>
  <c r="BX206" i="15"/>
  <c r="BX205" i="15"/>
  <c r="BX204" i="15"/>
  <c r="BX203" i="15"/>
  <c r="BX202" i="15"/>
  <c r="BX201" i="15"/>
  <c r="BX200" i="15"/>
  <c r="BX199" i="15"/>
  <c r="BX198" i="15"/>
  <c r="BX197" i="15"/>
  <c r="BX196" i="15"/>
  <c r="BX195" i="15"/>
  <c r="BX194" i="15"/>
  <c r="BX193" i="15"/>
  <c r="BX192" i="15"/>
  <c r="BX191" i="15"/>
  <c r="BX190" i="15"/>
  <c r="BX189" i="15"/>
  <c r="BX188" i="15"/>
  <c r="BX187" i="15"/>
  <c r="BX186" i="15"/>
  <c r="BX185" i="15"/>
  <c r="BX184" i="15"/>
  <c r="BX183" i="15"/>
  <c r="BX182" i="15"/>
  <c r="BX181" i="15"/>
  <c r="BX180" i="15"/>
  <c r="BX179" i="15"/>
  <c r="BX178" i="15"/>
  <c r="BX177" i="15"/>
  <c r="BX176" i="15"/>
  <c r="BX175" i="15"/>
  <c r="BX174" i="15"/>
  <c r="BX173" i="15"/>
  <c r="BX172" i="15"/>
  <c r="BX171" i="15"/>
  <c r="BX170" i="15"/>
  <c r="BX169" i="15"/>
  <c r="BX168" i="15"/>
  <c r="BX167" i="15"/>
  <c r="BX166" i="15"/>
  <c r="BX165" i="15"/>
  <c r="BX164" i="15"/>
  <c r="BX163" i="15"/>
  <c r="BX162" i="15"/>
  <c r="BX161" i="15"/>
  <c r="BX160" i="15"/>
  <c r="BX159" i="15"/>
  <c r="BW159" i="15"/>
  <c r="BV159" i="15"/>
  <c r="BU159" i="15"/>
  <c r="BT159" i="15"/>
  <c r="BS159" i="15"/>
  <c r="BR159" i="15"/>
  <c r="BQ159" i="15"/>
  <c r="BP159" i="15"/>
  <c r="BO159" i="15"/>
  <c r="BN159" i="15"/>
  <c r="BM159" i="15"/>
  <c r="BL159" i="15"/>
  <c r="BK159" i="15"/>
  <c r="BJ159" i="15"/>
  <c r="BI159" i="15"/>
  <c r="BH159" i="15"/>
  <c r="BG159" i="15"/>
  <c r="BF159" i="15"/>
  <c r="BE159" i="15"/>
  <c r="BD159" i="15"/>
  <c r="BC159" i="15"/>
  <c r="BB159" i="15"/>
  <c r="BA159" i="15"/>
  <c r="AZ159" i="15"/>
  <c r="AY159" i="15"/>
  <c r="AX159" i="15"/>
  <c r="AW159" i="15"/>
  <c r="AV159" i="15"/>
  <c r="AU159" i="15"/>
  <c r="AT159" i="15"/>
  <c r="AS159" i="15"/>
  <c r="AR159" i="15"/>
  <c r="AQ159" i="15"/>
  <c r="AP159" i="15"/>
  <c r="AO159" i="15"/>
  <c r="AN159" i="15"/>
  <c r="AM159" i="15"/>
  <c r="AL159" i="15"/>
  <c r="AK159" i="15"/>
  <c r="AJ159" i="15"/>
  <c r="AI159" i="15"/>
  <c r="AH159" i="15"/>
  <c r="AG159" i="15"/>
  <c r="AF159" i="15"/>
  <c r="AE159" i="15"/>
  <c r="AD159" i="15"/>
  <c r="AC159" i="15"/>
  <c r="AB159" i="15"/>
  <c r="AA159" i="15"/>
  <c r="Z159" i="15"/>
  <c r="Y159" i="15"/>
  <c r="X159" i="15"/>
  <c r="W159" i="15"/>
  <c r="V159" i="15"/>
  <c r="U159" i="15"/>
  <c r="T159" i="15"/>
  <c r="S159" i="15"/>
  <c r="R159" i="15"/>
  <c r="Q159" i="15"/>
  <c r="P159" i="15"/>
  <c r="O159" i="15"/>
  <c r="N159" i="15"/>
  <c r="M159" i="15"/>
  <c r="L159" i="15"/>
  <c r="K159" i="15"/>
  <c r="J159" i="15"/>
  <c r="I159" i="15"/>
  <c r="H159" i="15"/>
  <c r="G159" i="15"/>
  <c r="F159" i="15"/>
  <c r="E159" i="15"/>
  <c r="BX158" i="15"/>
  <c r="E158" i="15"/>
  <c r="BX157" i="15"/>
  <c r="BT157" i="15"/>
  <c r="BQ157" i="15"/>
  <c r="BK157" i="15"/>
  <c r="AW157" i="15"/>
  <c r="BX156" i="15"/>
  <c r="BX155" i="15"/>
  <c r="BX154" i="15"/>
  <c r="BX153" i="15"/>
  <c r="BX152" i="15"/>
  <c r="BX151" i="15"/>
  <c r="BX150" i="15"/>
  <c r="BX149" i="15"/>
  <c r="BX148" i="15"/>
  <c r="BX147" i="15"/>
  <c r="BX146" i="15"/>
  <c r="BX145" i="15"/>
  <c r="BX144" i="15"/>
  <c r="BX143" i="15"/>
  <c r="BX142" i="15"/>
  <c r="BX141" i="15"/>
  <c r="BX140" i="15"/>
  <c r="BX139" i="15"/>
  <c r="BX138" i="15"/>
  <c r="BU138" i="15"/>
  <c r="BQ138" i="15"/>
  <c r="BN138" i="15"/>
  <c r="BK138" i="15"/>
  <c r="BE138" i="15"/>
  <c r="AZ138" i="15"/>
  <c r="AX138" i="15"/>
  <c r="AP138" i="15"/>
  <c r="AK138" i="15"/>
  <c r="AI138" i="15"/>
  <c r="AB138" i="15"/>
  <c r="BX137" i="15"/>
  <c r="BI137" i="15"/>
  <c r="BX136" i="15"/>
  <c r="BT136" i="15"/>
  <c r="BQ136" i="15"/>
  <c r="BN136" i="15"/>
  <c r="BK136" i="15"/>
  <c r="BI136" i="15"/>
  <c r="BD136" i="15"/>
  <c r="AZ136" i="15"/>
  <c r="AS136" i="15"/>
  <c r="BX135" i="15"/>
  <c r="BI135" i="15"/>
  <c r="AW135" i="15"/>
  <c r="BX134" i="15"/>
  <c r="BX133" i="15"/>
  <c r="F133" i="15"/>
  <c r="BX132" i="15"/>
  <c r="BX131" i="15"/>
  <c r="BX130" i="15"/>
  <c r="BX129" i="15"/>
  <c r="BX128" i="15"/>
  <c r="BX127" i="15"/>
  <c r="BX126" i="15"/>
  <c r="BX125" i="15"/>
  <c r="BX124" i="15"/>
  <c r="BX123" i="15"/>
  <c r="BX122" i="15"/>
  <c r="Y122" i="15"/>
  <c r="BX121" i="15"/>
  <c r="BX120" i="15"/>
  <c r="BX119" i="15"/>
  <c r="BX118" i="15"/>
  <c r="BX117" i="15"/>
  <c r="BX116" i="15"/>
  <c r="BX115" i="15"/>
  <c r="BX114" i="15"/>
  <c r="BX113" i="15"/>
  <c r="BX112" i="15"/>
  <c r="BX111" i="15"/>
  <c r="BX110" i="15"/>
  <c r="BX109" i="15"/>
  <c r="BX108" i="15"/>
  <c r="BX107" i="15"/>
  <c r="BX106" i="15"/>
  <c r="BX105" i="15"/>
  <c r="W105" i="15"/>
  <c r="BX104" i="15"/>
  <c r="BX103" i="15"/>
  <c r="BX102" i="15"/>
  <c r="AE102" i="15"/>
  <c r="AD102" i="15"/>
  <c r="AC102" i="15"/>
  <c r="AB102" i="15"/>
  <c r="AA102" i="15"/>
  <c r="F102" i="15"/>
  <c r="BX101" i="15"/>
  <c r="BX100" i="15"/>
  <c r="BX99" i="15"/>
  <c r="AF99" i="15"/>
  <c r="BX98" i="15"/>
  <c r="BX97" i="15"/>
  <c r="BX96" i="15"/>
  <c r="BX95" i="15"/>
  <c r="BX94" i="15"/>
  <c r="BX93" i="15"/>
  <c r="BX92" i="15"/>
  <c r="BX91" i="15"/>
  <c r="BX90" i="15"/>
  <c r="BX89" i="15"/>
  <c r="BX88" i="15"/>
  <c r="BX87" i="15"/>
  <c r="BX86" i="15"/>
  <c r="BX85" i="15"/>
  <c r="BX84" i="15"/>
  <c r="BX83" i="15"/>
  <c r="BX82" i="15"/>
  <c r="BX81" i="15"/>
  <c r="BX80" i="15"/>
  <c r="BX79" i="15"/>
  <c r="BX78" i="15"/>
  <c r="BX77" i="15"/>
  <c r="BX76" i="15"/>
  <c r="BX75" i="15"/>
  <c r="BX74" i="15"/>
  <c r="BX73" i="15"/>
  <c r="BX72" i="15"/>
  <c r="BX71" i="15"/>
  <c r="BX70" i="15"/>
  <c r="BX69" i="15"/>
  <c r="BX68" i="15"/>
  <c r="BX67" i="15"/>
  <c r="BX66" i="15"/>
  <c r="BX65" i="15"/>
  <c r="BX64" i="15"/>
  <c r="BX63" i="15"/>
  <c r="BX62" i="15"/>
  <c r="BX61" i="15"/>
  <c r="AP61" i="15"/>
  <c r="BX60" i="15"/>
  <c r="BX59" i="15"/>
  <c r="BK59" i="15"/>
  <c r="BX58" i="15"/>
  <c r="BX57" i="15"/>
  <c r="BX56" i="15"/>
  <c r="BX55" i="15"/>
  <c r="BX54" i="15"/>
  <c r="BX53" i="15"/>
  <c r="BX52" i="15"/>
  <c r="BX51" i="15"/>
  <c r="BX50" i="15"/>
  <c r="BX49" i="15"/>
  <c r="BX48" i="15"/>
  <c r="BX47" i="15"/>
  <c r="BX46" i="15"/>
  <c r="BX45" i="15"/>
  <c r="BX44" i="15"/>
  <c r="BK44" i="15"/>
  <c r="BX43" i="15"/>
  <c r="BX42" i="15"/>
  <c r="BO42" i="15"/>
  <c r="AX42" i="15"/>
  <c r="BX41" i="15"/>
  <c r="BK41" i="15"/>
  <c r="BX40" i="15"/>
  <c r="BX39" i="15"/>
  <c r="BX38" i="15"/>
  <c r="BX37" i="15"/>
  <c r="BX36" i="15"/>
  <c r="BX35" i="15"/>
  <c r="BK35" i="15"/>
  <c r="BX34" i="15"/>
  <c r="BX33" i="15"/>
  <c r="BX32" i="15"/>
  <c r="BX31" i="15"/>
  <c r="BX30" i="15"/>
  <c r="BX29" i="15"/>
  <c r="BX28" i="15"/>
  <c r="BX27" i="15"/>
  <c r="BX26" i="15"/>
  <c r="BX25" i="15"/>
  <c r="BX24" i="15"/>
  <c r="BX23" i="15"/>
  <c r="BX22" i="15"/>
  <c r="BX21" i="15"/>
  <c r="BX20" i="15"/>
  <c r="BX19" i="15"/>
  <c r="BX18" i="15"/>
  <c r="AE18" i="15"/>
  <c r="AD18" i="15"/>
  <c r="AC18" i="15"/>
  <c r="AB18" i="15"/>
  <c r="AA18" i="15"/>
  <c r="BX17" i="15"/>
  <c r="BX16" i="15"/>
  <c r="BX15" i="15"/>
  <c r="BX14" i="15"/>
  <c r="BX13" i="15"/>
  <c r="BX12" i="15"/>
  <c r="BX11" i="15"/>
  <c r="BX10" i="15"/>
  <c r="BX9" i="15"/>
  <c r="BX8" i="15"/>
  <c r="BX7" i="15"/>
  <c r="BA7" i="15"/>
  <c r="BX6" i="15"/>
  <c r="BX5" i="15"/>
  <c r="BX4" i="15"/>
  <c r="BB4" i="15"/>
  <c r="BX3" i="15"/>
  <c r="AW3" i="15"/>
  <c r="AX239" i="14"/>
  <c r="AX238" i="14"/>
  <c r="AX237" i="14"/>
  <c r="AX236" i="14"/>
  <c r="AX235" i="14"/>
  <c r="AX234" i="14"/>
  <c r="AX233" i="14"/>
  <c r="AX232" i="14"/>
  <c r="AX231" i="14"/>
  <c r="AX230" i="14"/>
  <c r="AX229" i="14"/>
  <c r="AX228" i="14"/>
  <c r="AX227" i="14"/>
  <c r="AX226" i="14"/>
  <c r="AX225" i="14"/>
  <c r="AX224" i="14"/>
  <c r="AX223" i="14"/>
  <c r="AX222" i="14"/>
  <c r="AX221" i="14"/>
  <c r="AX220" i="14"/>
  <c r="AX219" i="14"/>
  <c r="AX218" i="14"/>
  <c r="AX217" i="14"/>
  <c r="AX216" i="14"/>
  <c r="AX215" i="14"/>
  <c r="AX214" i="14"/>
  <c r="AX213" i="14"/>
  <c r="AX212" i="14"/>
  <c r="AX211" i="14"/>
  <c r="AX210" i="14"/>
  <c r="AX209" i="14"/>
  <c r="AX208" i="14"/>
  <c r="AX207" i="14"/>
  <c r="AX206" i="14"/>
  <c r="AX205" i="14"/>
  <c r="AX204" i="14"/>
  <c r="AX203" i="14"/>
  <c r="AX202" i="14"/>
  <c r="AX201" i="14"/>
  <c r="AX200" i="14"/>
  <c r="AX199" i="14"/>
  <c r="AX198" i="14"/>
  <c r="AX197" i="14"/>
  <c r="AX196" i="14"/>
  <c r="AX195" i="14"/>
  <c r="AX194" i="14"/>
  <c r="AX193" i="14"/>
  <c r="AX192" i="14"/>
  <c r="AX191" i="14"/>
  <c r="AX190" i="14"/>
  <c r="AX189" i="14"/>
  <c r="AX188" i="14"/>
  <c r="AX187" i="14"/>
  <c r="AX186" i="14"/>
  <c r="AX185" i="14"/>
  <c r="AX184" i="14"/>
  <c r="AX183" i="14"/>
  <c r="AX182" i="14"/>
  <c r="AX181" i="14"/>
  <c r="AX180" i="14"/>
  <c r="AX179" i="14"/>
  <c r="AX178" i="14"/>
  <c r="AX177" i="14"/>
  <c r="AX176" i="14"/>
  <c r="AX175" i="14"/>
  <c r="AX174" i="14"/>
  <c r="AX173" i="14"/>
  <c r="AX172" i="14"/>
  <c r="AX171" i="14"/>
  <c r="AX170" i="14"/>
  <c r="AX169" i="14"/>
  <c r="AX168" i="14"/>
  <c r="AX167" i="14"/>
  <c r="AX166" i="14"/>
  <c r="AX165" i="14"/>
  <c r="AX164" i="14"/>
  <c r="AX163" i="14"/>
  <c r="AX162" i="14"/>
  <c r="AX161" i="14"/>
  <c r="AX160" i="14"/>
  <c r="AX159" i="14"/>
  <c r="AX158" i="14"/>
  <c r="AX157" i="14"/>
  <c r="AX156" i="14"/>
  <c r="AX155" i="14"/>
  <c r="AX154" i="14"/>
  <c r="AX153" i="14"/>
  <c r="AX152" i="14"/>
  <c r="AX151" i="14"/>
  <c r="AX150" i="14"/>
  <c r="AX149" i="14"/>
  <c r="AX148" i="14"/>
  <c r="AX147" i="14"/>
  <c r="AX146" i="14"/>
  <c r="AX145" i="14"/>
  <c r="AX144" i="14"/>
  <c r="AX143" i="14"/>
  <c r="AX142" i="14"/>
  <c r="AX141" i="14"/>
  <c r="AX140" i="14"/>
  <c r="AX139" i="14"/>
  <c r="AX138" i="14"/>
  <c r="AX137" i="14"/>
  <c r="AX136" i="14"/>
  <c r="AX135" i="14"/>
  <c r="AX134" i="14"/>
  <c r="AX133" i="14"/>
  <c r="AX132" i="14"/>
  <c r="AX131" i="14"/>
  <c r="AX130" i="14"/>
  <c r="AX129" i="14"/>
  <c r="AX128" i="14"/>
  <c r="AX127" i="14"/>
  <c r="AX126" i="14"/>
  <c r="AX125" i="14"/>
  <c r="AX124" i="14"/>
  <c r="AX123" i="14"/>
  <c r="AX122" i="14"/>
  <c r="AX121" i="14"/>
  <c r="AX120" i="14"/>
  <c r="AX119" i="14"/>
  <c r="AX118" i="14"/>
  <c r="AX117" i="14"/>
  <c r="AX116" i="14"/>
  <c r="AX115" i="14"/>
  <c r="AX114" i="14"/>
  <c r="AX113" i="14"/>
  <c r="AX112" i="14"/>
  <c r="AX111" i="14"/>
  <c r="AX110" i="14"/>
  <c r="AX109" i="14"/>
  <c r="AX108" i="14"/>
  <c r="AX107" i="14"/>
  <c r="AX106" i="14"/>
  <c r="AX105" i="14"/>
  <c r="AX104" i="14"/>
  <c r="AX103" i="14"/>
  <c r="AX102" i="14"/>
  <c r="AX101" i="14"/>
  <c r="AX100" i="14"/>
  <c r="AX99" i="14"/>
  <c r="AX98" i="14"/>
  <c r="AX97" i="14"/>
  <c r="AX96" i="14"/>
  <c r="AX95" i="14"/>
  <c r="AX94" i="14"/>
  <c r="AX93" i="14"/>
  <c r="AX92" i="14"/>
  <c r="AW92" i="14"/>
  <c r="AV92" i="14"/>
  <c r="AU92" i="14"/>
  <c r="AT92" i="14"/>
  <c r="AS92" i="14"/>
  <c r="AR92" i="14"/>
  <c r="AQ92" i="14"/>
  <c r="AP92" i="14"/>
  <c r="AO92" i="14"/>
  <c r="AN92" i="14"/>
  <c r="AM92" i="14"/>
  <c r="AL92" i="14"/>
  <c r="AK92" i="14"/>
  <c r="AJ92" i="14"/>
  <c r="AI92" i="14"/>
  <c r="AH92" i="14"/>
  <c r="AG92" i="14"/>
  <c r="AF92" i="14"/>
  <c r="AE92" i="14"/>
  <c r="AD92" i="14"/>
  <c r="AC92" i="14"/>
  <c r="AB92" i="14"/>
  <c r="AA92" i="14"/>
  <c r="Z92" i="14"/>
  <c r="Y92" i="14"/>
  <c r="X92" i="14"/>
  <c r="W92" i="14"/>
  <c r="V92" i="14"/>
  <c r="U92" i="14"/>
  <c r="T92" i="14"/>
  <c r="S92" i="14"/>
  <c r="R92" i="14"/>
  <c r="Q92" i="14"/>
  <c r="P92" i="14"/>
  <c r="O92" i="14"/>
  <c r="N92" i="14"/>
  <c r="M92" i="14"/>
  <c r="L92" i="14"/>
  <c r="K92" i="14"/>
  <c r="J92" i="14"/>
  <c r="I92" i="14"/>
  <c r="H92" i="14"/>
  <c r="G92" i="14"/>
  <c r="F92" i="14"/>
  <c r="E92" i="14"/>
  <c r="AX91" i="14"/>
  <c r="E91" i="14"/>
  <c r="AX90" i="14"/>
  <c r="AR90" i="14"/>
  <c r="AX89" i="14"/>
  <c r="AX88" i="14"/>
  <c r="AR88" i="14"/>
  <c r="AX87" i="14"/>
  <c r="AX86" i="14"/>
  <c r="AX85" i="14"/>
  <c r="AX84" i="14"/>
  <c r="AX83" i="14"/>
  <c r="AX82" i="14"/>
  <c r="AX81" i="14"/>
  <c r="AX80" i="14"/>
  <c r="AX79" i="14"/>
  <c r="AX78" i="14"/>
  <c r="AX77" i="14"/>
  <c r="AX76" i="14"/>
  <c r="AX75" i="14"/>
  <c r="AX74" i="14"/>
  <c r="AX73" i="14"/>
  <c r="AX72" i="14"/>
  <c r="AX71" i="14"/>
  <c r="AX70" i="14"/>
  <c r="AX69" i="14"/>
  <c r="AW69" i="14"/>
  <c r="AX68" i="14"/>
  <c r="AX67" i="14"/>
  <c r="AX66" i="14"/>
  <c r="AX65" i="14"/>
  <c r="AX64" i="14"/>
  <c r="AX63" i="14"/>
  <c r="AX62" i="14"/>
  <c r="AX61" i="14"/>
  <c r="AX60" i="14"/>
  <c r="AX59" i="14"/>
  <c r="AX58" i="14"/>
  <c r="AX57" i="14"/>
  <c r="AX56" i="14"/>
  <c r="AX55" i="14"/>
  <c r="AX54" i="14"/>
  <c r="AX53" i="14"/>
  <c r="AX52" i="14"/>
  <c r="AX51" i="14"/>
  <c r="U51" i="14"/>
  <c r="AX50" i="14"/>
  <c r="T50" i="14"/>
  <c r="S50" i="14"/>
  <c r="R50" i="14"/>
  <c r="Q50" i="14"/>
  <c r="AX49" i="14"/>
  <c r="AX48" i="14"/>
  <c r="AX47" i="14"/>
  <c r="AX46" i="14"/>
  <c r="AX45" i="14"/>
  <c r="AX44" i="14"/>
  <c r="J44" i="14"/>
  <c r="AX43" i="14"/>
  <c r="AX42" i="14"/>
  <c r="AX41" i="14"/>
  <c r="AX40" i="14"/>
  <c r="AX39" i="14"/>
  <c r="AX38" i="14"/>
  <c r="AX37" i="14"/>
  <c r="AX36" i="14"/>
  <c r="AX35" i="14"/>
  <c r="AX34" i="14"/>
  <c r="AX33" i="14"/>
  <c r="AX32" i="14"/>
  <c r="AX31" i="14"/>
  <c r="AX30" i="14"/>
  <c r="AX29" i="14"/>
  <c r="AX28" i="14"/>
  <c r="AX27" i="14"/>
  <c r="AX26" i="14"/>
  <c r="AX25" i="14"/>
  <c r="AX24" i="14"/>
  <c r="AX23" i="14"/>
  <c r="AX22" i="14"/>
  <c r="AX21" i="14"/>
  <c r="AX20" i="14"/>
  <c r="AX19" i="14"/>
  <c r="AX18" i="14"/>
  <c r="AX17" i="14"/>
  <c r="AX16" i="14"/>
  <c r="AX15" i="14"/>
  <c r="AX14" i="14"/>
  <c r="AX13" i="14"/>
  <c r="AX12" i="14"/>
  <c r="AX11" i="14"/>
  <c r="AX10" i="14"/>
  <c r="AX9" i="14"/>
  <c r="AX8" i="14"/>
  <c r="AX7" i="14"/>
  <c r="BX82" i="13"/>
  <c r="BW82" i="13"/>
  <c r="BV82" i="13"/>
  <c r="BU82" i="13"/>
  <c r="BT82" i="13"/>
  <c r="BS82" i="13"/>
  <c r="BR82" i="13"/>
  <c r="BQ82" i="13"/>
  <c r="BP82" i="13"/>
  <c r="BO82" i="13"/>
  <c r="BN82" i="13"/>
  <c r="BM82" i="13"/>
  <c r="BL82" i="13"/>
  <c r="BK82" i="13"/>
  <c r="BJ82" i="13"/>
  <c r="BI82" i="13"/>
  <c r="BH82" i="13"/>
  <c r="BG82" i="13"/>
  <c r="BF82" i="13"/>
  <c r="BE82" i="13"/>
  <c r="BD82" i="13"/>
  <c r="BC82" i="13"/>
  <c r="BB82" i="13"/>
  <c r="BA82" i="13"/>
  <c r="AZ82" i="13"/>
  <c r="AY82" i="13"/>
  <c r="AX82" i="13"/>
  <c r="AW82" i="13"/>
  <c r="AV82" i="13"/>
  <c r="AU82" i="13"/>
  <c r="AT82" i="13"/>
  <c r="AS82" i="13"/>
  <c r="AR82" i="13"/>
  <c r="AQ82" i="13"/>
  <c r="AP82" i="13"/>
  <c r="AO82" i="13"/>
  <c r="AN82" i="13"/>
  <c r="AM82" i="13"/>
  <c r="AL82" i="13"/>
  <c r="AK82" i="13"/>
  <c r="AJ82" i="13"/>
  <c r="AI82" i="13"/>
  <c r="AH82" i="13"/>
  <c r="AG82" i="13"/>
  <c r="AF82" i="13"/>
  <c r="AE82" i="13"/>
  <c r="AD82" i="13"/>
  <c r="AC82" i="13"/>
  <c r="AB82" i="13"/>
  <c r="AA82" i="13"/>
  <c r="Z82" i="13"/>
  <c r="Y82" i="13"/>
  <c r="X82" i="13"/>
  <c r="W82" i="13"/>
  <c r="V82" i="13"/>
  <c r="U82" i="13"/>
  <c r="T82" i="13"/>
  <c r="S82" i="13"/>
  <c r="R82" i="13"/>
  <c r="Q82" i="13"/>
  <c r="P82" i="13"/>
  <c r="O82" i="13"/>
  <c r="N82" i="13"/>
  <c r="M82" i="13"/>
  <c r="L82" i="13"/>
  <c r="K82" i="13"/>
  <c r="J82" i="13"/>
  <c r="I82" i="13"/>
  <c r="H82" i="13"/>
  <c r="G82" i="13"/>
  <c r="F82" i="13"/>
  <c r="E82" i="13"/>
  <c r="AR81" i="13"/>
  <c r="AR80" i="13"/>
  <c r="AR79" i="13"/>
  <c r="AR78" i="13"/>
  <c r="AR77" i="13"/>
  <c r="AR76" i="13"/>
  <c r="AR75" i="13"/>
  <c r="AR74" i="13"/>
  <c r="P74" i="13"/>
  <c r="O74" i="13"/>
  <c r="AR73" i="13"/>
  <c r="AR72" i="13"/>
  <c r="AR71" i="13"/>
  <c r="AR70" i="13"/>
  <c r="AR69" i="13"/>
  <c r="AR68" i="13"/>
  <c r="AR67" i="13"/>
  <c r="AR66" i="13"/>
  <c r="AR65" i="13"/>
  <c r="AR64" i="13"/>
  <c r="U64" i="13"/>
  <c r="AR63" i="13"/>
  <c r="AR62" i="13"/>
  <c r="AR61" i="13"/>
  <c r="AR60" i="13"/>
  <c r="AR59" i="13"/>
  <c r="AR58" i="13"/>
  <c r="AR57" i="13"/>
  <c r="AR56" i="13"/>
  <c r="AR55" i="13"/>
  <c r="AR54" i="13"/>
  <c r="AR53" i="13"/>
  <c r="AR52" i="13"/>
  <c r="Q52" i="13"/>
  <c r="O52" i="13"/>
  <c r="AR51" i="13"/>
  <c r="AR50" i="13"/>
  <c r="AR49" i="13"/>
  <c r="AR48" i="13"/>
  <c r="AR47" i="13"/>
  <c r="AR46" i="13"/>
  <c r="U46" i="13"/>
  <c r="O46" i="13"/>
  <c r="AR45" i="13"/>
  <c r="AR44" i="13"/>
  <c r="AR43" i="13"/>
  <c r="AR42" i="13"/>
  <c r="AR41" i="13"/>
  <c r="AR40" i="13"/>
  <c r="AR39" i="13"/>
  <c r="AR38" i="13"/>
  <c r="AR37" i="13"/>
  <c r="AR36" i="13"/>
  <c r="AR35" i="13"/>
  <c r="AR34" i="13"/>
  <c r="AR33" i="13"/>
  <c r="AR32" i="13"/>
  <c r="AR31" i="13"/>
  <c r="AR30" i="13"/>
  <c r="AR29" i="13"/>
  <c r="AR28" i="13"/>
  <c r="AR27" i="13"/>
  <c r="AR26" i="13"/>
  <c r="AC26" i="13"/>
  <c r="AA26" i="13"/>
  <c r="O26" i="13"/>
  <c r="AR25" i="13"/>
  <c r="AR24" i="13"/>
  <c r="AR23" i="13"/>
  <c r="AR22" i="13"/>
  <c r="AR21" i="13"/>
  <c r="AR20" i="13"/>
  <c r="AR19" i="13"/>
  <c r="AR18" i="13"/>
  <c r="AR17" i="13"/>
  <c r="AR16" i="13"/>
  <c r="AR15" i="13"/>
  <c r="AR14" i="13"/>
  <c r="AR13" i="13"/>
  <c r="AR12" i="13"/>
  <c r="AR11" i="13"/>
  <c r="AR10" i="13"/>
  <c r="AR9" i="13"/>
  <c r="AR8" i="13"/>
  <c r="AR7" i="13"/>
  <c r="AR6" i="13"/>
  <c r="AR5" i="13"/>
  <c r="AR4" i="13"/>
  <c r="BH114" i="5"/>
  <c r="BH113" i="5"/>
  <c r="BG113" i="5"/>
  <c r="BF113" i="5"/>
  <c r="BE113" i="5"/>
  <c r="BD113" i="5"/>
  <c r="BC113" i="5"/>
  <c r="BB113" i="5"/>
  <c r="BA113" i="5"/>
  <c r="AZ113" i="5"/>
  <c r="AY113" i="5"/>
  <c r="AX113" i="5"/>
  <c r="AW113" i="5"/>
  <c r="AV113" i="5"/>
  <c r="AU113" i="5"/>
  <c r="AT113" i="5"/>
  <c r="AS113" i="5"/>
  <c r="AR113" i="5"/>
  <c r="AQ113" i="5"/>
  <c r="AP113" i="5"/>
  <c r="AO113" i="5"/>
  <c r="AN113" i="5"/>
  <c r="AM113" i="5"/>
  <c r="AL113" i="5"/>
  <c r="AK113" i="5"/>
  <c r="AJ113" i="5"/>
  <c r="AI113" i="5"/>
  <c r="AH113" i="5"/>
  <c r="AG113" i="5"/>
  <c r="AF113" i="5"/>
  <c r="AE113" i="5"/>
  <c r="AD113" i="5"/>
  <c r="AC113" i="5"/>
  <c r="AB113" i="5"/>
  <c r="AA113" i="5"/>
  <c r="Z113" i="5"/>
  <c r="Y113" i="5"/>
  <c r="X113" i="5"/>
  <c r="W113" i="5"/>
  <c r="V113" i="5"/>
  <c r="U113" i="5"/>
  <c r="T113" i="5"/>
  <c r="S113" i="5"/>
  <c r="R113" i="5"/>
  <c r="Q113" i="5"/>
  <c r="P113" i="5"/>
  <c r="O113" i="5"/>
  <c r="N113" i="5"/>
  <c r="M113" i="5"/>
  <c r="L113" i="5"/>
  <c r="K113" i="5"/>
  <c r="J113" i="5"/>
  <c r="I113" i="5"/>
  <c r="H113" i="5"/>
  <c r="G113" i="5"/>
  <c r="F113" i="5"/>
  <c r="E113" i="5"/>
  <c r="BH112" i="5"/>
  <c r="BH111" i="5"/>
  <c r="BH110" i="5"/>
  <c r="BH108" i="5"/>
  <c r="BH107" i="5"/>
  <c r="BH106" i="5"/>
  <c r="BH105" i="5"/>
  <c r="BH104" i="5"/>
  <c r="BH103" i="5"/>
  <c r="BH102" i="5"/>
  <c r="BH101" i="5"/>
  <c r="BH100" i="5"/>
  <c r="BH99" i="5"/>
  <c r="BH98" i="5"/>
  <c r="BH97" i="5"/>
  <c r="BH96" i="5"/>
  <c r="BH95" i="5"/>
  <c r="BH94" i="5"/>
  <c r="BH93" i="5"/>
  <c r="BH92" i="5"/>
  <c r="BH91" i="5"/>
  <c r="BH90" i="5"/>
  <c r="BH89" i="5"/>
  <c r="BH88" i="5"/>
  <c r="BH87" i="5"/>
  <c r="BH86" i="5"/>
  <c r="BH85" i="5"/>
  <c r="BH84" i="5"/>
  <c r="BH83" i="5"/>
  <c r="BH82" i="5"/>
  <c r="BH81" i="5"/>
  <c r="BH80" i="5"/>
  <c r="BH79" i="5"/>
  <c r="BH78" i="5"/>
  <c r="BH77" i="5"/>
  <c r="BH76" i="5"/>
  <c r="BH75" i="5"/>
  <c r="BH74" i="5"/>
  <c r="BH73" i="5"/>
  <c r="BH72" i="5"/>
  <c r="BH71" i="5"/>
  <c r="BH70" i="5"/>
  <c r="BH69" i="5"/>
  <c r="BH68" i="5"/>
  <c r="BH67" i="5"/>
  <c r="BH66" i="5"/>
  <c r="BH65" i="5"/>
  <c r="BH64" i="5"/>
  <c r="BH63" i="5"/>
  <c r="BH62" i="5"/>
  <c r="BH61" i="5"/>
  <c r="BH60" i="5"/>
  <c r="BH59" i="5"/>
  <c r="BH58" i="5"/>
  <c r="BH57" i="5"/>
  <c r="BH56" i="5"/>
  <c r="AW56" i="5"/>
  <c r="BH55" i="5"/>
  <c r="BH54" i="5"/>
  <c r="AB54" i="5"/>
  <c r="AA54" i="5"/>
  <c r="Z54" i="5"/>
  <c r="BH53" i="5"/>
  <c r="BH52" i="5"/>
  <c r="BH51" i="5"/>
  <c r="BH50" i="5"/>
  <c r="BH49" i="5"/>
  <c r="BH48" i="5"/>
  <c r="V48" i="5"/>
  <c r="BH47" i="5"/>
  <c r="BH46" i="5"/>
  <c r="N46" i="5"/>
  <c r="BH45" i="5"/>
  <c r="AK45" i="5"/>
  <c r="W45" i="5"/>
  <c r="V45" i="5"/>
  <c r="U45" i="5"/>
  <c r="BH44" i="5"/>
  <c r="BH43" i="5"/>
  <c r="BH42" i="5"/>
  <c r="BH41" i="5"/>
  <c r="BH40" i="5"/>
  <c r="BH39" i="5"/>
  <c r="BH38" i="5"/>
  <c r="BH37" i="5"/>
  <c r="BH36" i="5"/>
  <c r="AD36" i="5"/>
  <c r="AC36" i="5"/>
  <c r="AB36" i="5"/>
  <c r="AA36" i="5"/>
  <c r="V36" i="5"/>
  <c r="BH35" i="5"/>
  <c r="BH34" i="5"/>
  <c r="BH33" i="5"/>
  <c r="BH32" i="5"/>
  <c r="BH31" i="5"/>
  <c r="BH30" i="5"/>
  <c r="BH29" i="5"/>
  <c r="BH28" i="5"/>
  <c r="BH27" i="5"/>
  <c r="BH26" i="5"/>
  <c r="J26" i="5"/>
  <c r="BH25" i="5"/>
  <c r="BH24" i="5"/>
  <c r="BI23" i="5"/>
  <c r="BH23" i="5"/>
  <c r="AQ23" i="5"/>
  <c r="AL23" i="5"/>
  <c r="BH22" i="5"/>
  <c r="N22" i="5"/>
  <c r="L22" i="5"/>
  <c r="BH21" i="5"/>
  <c r="BH20" i="5"/>
  <c r="BH19" i="5"/>
  <c r="BH18" i="5"/>
  <c r="BH17" i="5"/>
  <c r="BH16" i="5"/>
  <c r="AI16" i="5"/>
  <c r="AF16" i="5"/>
  <c r="AE16" i="5"/>
  <c r="W16" i="5"/>
  <c r="V16" i="5"/>
  <c r="U16" i="5"/>
  <c r="BH15" i="5"/>
  <c r="BH14" i="5"/>
  <c r="BH13" i="5"/>
  <c r="BH12" i="5"/>
  <c r="BH11" i="5"/>
  <c r="BH10" i="5"/>
  <c r="BH9" i="5"/>
  <c r="BH8" i="5"/>
  <c r="BH7" i="5"/>
  <c r="BA7" i="5"/>
  <c r="BH6" i="5"/>
  <c r="BH5" i="5"/>
  <c r="BH4" i="5"/>
  <c r="AZ81" i="3"/>
  <c r="AY81" i="3"/>
  <c r="AX81" i="3"/>
  <c r="AW81" i="3"/>
  <c r="AV81" i="3"/>
  <c r="AU81" i="3"/>
  <c r="AT81" i="3"/>
  <c r="AS81" i="3"/>
  <c r="AR81" i="3"/>
  <c r="AQ81" i="3"/>
  <c r="AP81" i="3"/>
  <c r="AO81" i="3"/>
  <c r="AN81" i="3"/>
  <c r="AM81" i="3"/>
  <c r="AL81" i="3"/>
  <c r="AK81" i="3"/>
  <c r="AJ81" i="3"/>
  <c r="AI81" i="3"/>
  <c r="AH81" i="3"/>
  <c r="AG81" i="3"/>
  <c r="AF81" i="3"/>
  <c r="AE81" i="3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AX80" i="3"/>
  <c r="AX79" i="3"/>
  <c r="AX78" i="3"/>
  <c r="AX77" i="3"/>
  <c r="AX76" i="3"/>
  <c r="AX75" i="3"/>
  <c r="AX74" i="3"/>
  <c r="AX73" i="3"/>
  <c r="AX72" i="3"/>
  <c r="AX71" i="3"/>
  <c r="AX70" i="3"/>
  <c r="AQ70" i="3"/>
  <c r="AX69" i="3"/>
  <c r="AX68" i="3"/>
  <c r="AX67" i="3"/>
  <c r="AX66" i="3"/>
  <c r="AX65" i="3"/>
  <c r="AX64" i="3"/>
  <c r="AX63" i="3"/>
  <c r="AX62" i="3"/>
  <c r="AX61" i="3"/>
  <c r="AX60" i="3"/>
  <c r="AX59" i="3"/>
  <c r="AX58" i="3"/>
  <c r="AX57" i="3"/>
  <c r="AX56" i="3"/>
  <c r="AJ56" i="3"/>
  <c r="AI56" i="3"/>
  <c r="J56" i="3"/>
  <c r="AX55" i="3"/>
  <c r="AG55" i="3"/>
  <c r="AB55" i="3"/>
  <c r="AA55" i="3"/>
  <c r="J55" i="3"/>
  <c r="G55" i="3"/>
  <c r="AX54" i="3"/>
  <c r="J54" i="3"/>
  <c r="AX53" i="3"/>
  <c r="AD53" i="3"/>
  <c r="Z53" i="3"/>
  <c r="X53" i="3"/>
  <c r="W53" i="3"/>
  <c r="S53" i="3"/>
  <c r="Q53" i="3"/>
  <c r="O53" i="3"/>
  <c r="K53" i="3"/>
  <c r="J53" i="3"/>
  <c r="I53" i="3"/>
  <c r="AX52" i="3"/>
  <c r="AX51" i="3"/>
  <c r="AX50" i="3"/>
  <c r="L50" i="3"/>
  <c r="AX49" i="3"/>
  <c r="AX48" i="3"/>
  <c r="AX47" i="3"/>
  <c r="AX46" i="3"/>
  <c r="AX45" i="3"/>
  <c r="AX44" i="3"/>
  <c r="AX43" i="3"/>
  <c r="AX42" i="3"/>
  <c r="AX41" i="3"/>
  <c r="AX40" i="3"/>
  <c r="AX39" i="3"/>
  <c r="AX38" i="3"/>
  <c r="AX37" i="3"/>
  <c r="AX36" i="3"/>
  <c r="AX35" i="3"/>
  <c r="AX34" i="3"/>
  <c r="AX33" i="3"/>
  <c r="AX32" i="3"/>
  <c r="AX31" i="3"/>
  <c r="AX30" i="3"/>
  <c r="AX29" i="3"/>
  <c r="AX28" i="3"/>
  <c r="AX27" i="3"/>
  <c r="AX26" i="3"/>
  <c r="AX25" i="3"/>
  <c r="J25" i="3"/>
  <c r="AX24" i="3"/>
  <c r="AX23" i="3"/>
  <c r="AX22" i="3"/>
  <c r="AX21" i="3"/>
  <c r="AX20" i="3"/>
  <c r="AX19" i="3"/>
  <c r="AX18" i="3"/>
  <c r="AX17" i="3"/>
  <c r="AX16" i="3"/>
  <c r="AX15" i="3"/>
  <c r="AX14" i="3"/>
  <c r="AX13" i="3"/>
  <c r="AX12" i="3"/>
  <c r="AX11" i="3"/>
  <c r="AX10" i="3"/>
  <c r="AX9" i="3"/>
  <c r="AX8" i="3"/>
  <c r="L8" i="3"/>
  <c r="AX7" i="3"/>
  <c r="AX6" i="3"/>
  <c r="AX5" i="3"/>
  <c r="AX4" i="3"/>
  <c r="AX3" i="3"/>
  <c r="AG3" i="3"/>
  <c r="X3" i="3"/>
  <c r="O3" i="3"/>
  <c r="G3" i="3"/>
  <c r="U14" i="1"/>
  <c r="T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W13" i="1"/>
  <c r="S13" i="1"/>
  <c r="S12" i="1"/>
  <c r="L12" i="1"/>
  <c r="S11" i="1"/>
  <c r="N11" i="1"/>
  <c r="M11" i="1"/>
  <c r="L11" i="1"/>
  <c r="S10" i="1"/>
  <c r="S9" i="1"/>
  <c r="S8" i="1"/>
  <c r="S7" i="1"/>
  <c r="S6" i="1"/>
  <c r="S5" i="1"/>
  <c r="S4" i="1"/>
  <c r="S3" i="1"/>
  <c r="S14" i="1" l="1"/>
</calcChain>
</file>

<file path=xl/comments1.xml><?xml version="1.0" encoding="utf-8"?>
<comments xmlns="http://schemas.openxmlformats.org/spreadsheetml/2006/main">
  <authors>
    <author>HP</author>
  </authors>
  <commentList>
    <comment ref="X102" authorId="0" shapeId="0">
      <text>
        <r>
          <rPr>
            <b/>
            <sz val="9"/>
            <rFont val="Tahoma"/>
            <family val="2"/>
          </rPr>
          <t>HP:</t>
        </r>
        <r>
          <rPr>
            <sz val="9"/>
            <rFont val="Tahoma"/>
            <family val="2"/>
          </rPr>
          <t xml:space="preserve">
REPEATED</t>
        </r>
      </text>
    </comment>
  </commentList>
</comments>
</file>

<file path=xl/sharedStrings.xml><?xml version="1.0" encoding="utf-8"?>
<sst xmlns="http://schemas.openxmlformats.org/spreadsheetml/2006/main" count="1450" uniqueCount="579">
  <si>
    <t>JANUARY 2026 EXPENDITURE FOR ACCOUNT 1285</t>
  </si>
  <si>
    <t>DATE</t>
  </si>
  <si>
    <t>PARTICULARS</t>
  </si>
  <si>
    <t>CHQ NO</t>
  </si>
  <si>
    <t>PV NO</t>
  </si>
  <si>
    <t>TOTAL</t>
  </si>
  <si>
    <t>MATOOKE</t>
  </si>
  <si>
    <t>FIREWOOD</t>
  </si>
  <si>
    <t>BEEF/CHICKEN/STAFF BUFFET</t>
  </si>
  <si>
    <t>CONDOLENCES</t>
  </si>
  <si>
    <t>STATIONERY</t>
  </si>
  <si>
    <t>COMPOUND MAINTANENCE</t>
  </si>
  <si>
    <t>TRANSPORT REFUND</t>
  </si>
  <si>
    <t>REMEDIAL TEACHING/EXTRA DUTY</t>
  </si>
  <si>
    <t>FUEL</t>
  </si>
  <si>
    <t>PLUMBING WORKS/REPAIRS</t>
  </si>
  <si>
    <t>MAIZE FLOUR</t>
  </si>
  <si>
    <t>BANK CHARGES</t>
  </si>
  <si>
    <t>PAINTING</t>
  </si>
  <si>
    <t>WHIRLWIND ENTERPRISES LIMITED</t>
  </si>
  <si>
    <t>NALWANGA $ HARRIET TRADERS</t>
  </si>
  <si>
    <t>007381</t>
  </si>
  <si>
    <t>GUTEN FOODS AND CATERING SERVICES LTD</t>
  </si>
  <si>
    <t>007236</t>
  </si>
  <si>
    <t>007390</t>
  </si>
  <si>
    <t>MUGISHA JOEL</t>
  </si>
  <si>
    <t>007393</t>
  </si>
  <si>
    <t>007405</t>
  </si>
  <si>
    <t>MAYANJA PAUL</t>
  </si>
  <si>
    <t>007307</t>
  </si>
  <si>
    <t>MUTEBI CHARLES</t>
  </si>
  <si>
    <t>007386</t>
  </si>
  <si>
    <t>007396</t>
  </si>
  <si>
    <t>10512/10515/</t>
  </si>
  <si>
    <t>007407</t>
  </si>
  <si>
    <t>10509/11448/10511/10508/</t>
  </si>
  <si>
    <t>FEBRUARY 2026 EXPENDITURE FOR ACCOUNT 1285</t>
  </si>
  <si>
    <t>6% WHT</t>
  </si>
  <si>
    <t>CAR HIRE</t>
  </si>
  <si>
    <t>HOUSERENT</t>
  </si>
  <si>
    <t>BEEF</t>
  </si>
  <si>
    <t>SPICES</t>
  </si>
  <si>
    <t>VEHICLE REPAIRS</t>
  </si>
  <si>
    <t>SOCIAL CORPORATE RESP</t>
  </si>
  <si>
    <t>YAKA</t>
  </si>
  <si>
    <t>HOUSE RENT</t>
  </si>
  <si>
    <t>SCHOOL SALARIES</t>
  </si>
  <si>
    <t>EXTRA DUTY</t>
  </si>
  <si>
    <t>NWSC</t>
  </si>
  <si>
    <t>UNEB</t>
  </si>
  <si>
    <t>MAGEZI SOLUTIONS</t>
  </si>
  <si>
    <t>LITURGY</t>
  </si>
  <si>
    <t>MEDICAL</t>
  </si>
  <si>
    <t>ADVERT</t>
  </si>
  <si>
    <t>TEA LEAVES</t>
  </si>
  <si>
    <t>INTERNAL EXAMS</t>
  </si>
  <si>
    <t>REMEDIALS/EXTRA</t>
  </si>
  <si>
    <t>ENTERTAINMENT</t>
  </si>
  <si>
    <t>CLUBS/SOCIETIES</t>
  </si>
  <si>
    <t>BREAD</t>
  </si>
  <si>
    <t>AIRTIME</t>
  </si>
  <si>
    <t>GENERAL REPAIRS</t>
  </si>
  <si>
    <t>SCIENCE CHEM &amp;EQUIP</t>
  </si>
  <si>
    <t>FIRE WOOD</t>
  </si>
  <si>
    <t>UNIFORMS O LEVEL</t>
  </si>
  <si>
    <t>CONSULOTANCY FEE</t>
  </si>
  <si>
    <t>NSSF 10%</t>
  </si>
  <si>
    <t>WHEAT FLOUR/FRUITS</t>
  </si>
  <si>
    <t>INTERNET</t>
  </si>
  <si>
    <t>RICE</t>
  </si>
  <si>
    <t>COMPENSATION TO SQUARTTERS</t>
  </si>
  <si>
    <t>LOAN REPAYMENT  FROM BLESSED FAMILY</t>
  </si>
  <si>
    <t>GOVT SALARIES</t>
  </si>
  <si>
    <t>MASIKA ADRINE</t>
  </si>
  <si>
    <t>VIVIAN NDAGIRE</t>
  </si>
  <si>
    <t>007392</t>
  </si>
  <si>
    <t>KABUYE JOHN</t>
  </si>
  <si>
    <t>007385</t>
  </si>
  <si>
    <t>007394</t>
  </si>
  <si>
    <t>`007382</t>
  </si>
  <si>
    <t>007399</t>
  </si>
  <si>
    <t>DOREEN KIZITO NANNONO</t>
  </si>
  <si>
    <t>NDAGIRE VIVIAN</t>
  </si>
  <si>
    <t>04/02/206</t>
  </si>
  <si>
    <t>WANZUSI SAM</t>
  </si>
  <si>
    <t>SAWANA FRANCIS</t>
  </si>
  <si>
    <t>KIGGUNDU STEVEN</t>
  </si>
  <si>
    <t>SSENTONGO JOHN</t>
  </si>
  <si>
    <t>NAIGA LINAH</t>
  </si>
  <si>
    <t>UEDCL</t>
  </si>
  <si>
    <t>OBED MWEBASA AND ASSOCIATED ADVOCATES</t>
  </si>
  <si>
    <t>MUBIRU RONALD</t>
  </si>
  <si>
    <t>NAMBOOZE GERTRUDE</t>
  </si>
  <si>
    <t>BABIRYE GLADYS</t>
  </si>
  <si>
    <t>CENTENARY BANK</t>
  </si>
  <si>
    <r>
      <rPr>
        <sz val="11"/>
        <color theme="1"/>
        <rFont val="Calibri"/>
        <family val="2"/>
        <scheme val="minor"/>
      </rPr>
      <t xml:space="preserve">NATIONAL WATER </t>
    </r>
    <r>
      <rPr>
        <u/>
        <sz val="11"/>
        <color theme="1"/>
        <rFont val="Calibri"/>
        <family val="2"/>
        <scheme val="minor"/>
      </rPr>
      <t>&amp; SEWERAGE CORPORATION</t>
    </r>
  </si>
  <si>
    <t>BYORO CHARLES</t>
  </si>
  <si>
    <t>SSENYONDO JOSEPH</t>
  </si>
  <si>
    <t>OCHILAMUS DANIEL</t>
  </si>
  <si>
    <t>NAKATUDDE MARY</t>
  </si>
  <si>
    <t>NAKISIGE AUDRY HILDA</t>
  </si>
  <si>
    <t>NAKAWOOYA PHARIIDA MUKASA</t>
  </si>
  <si>
    <t>FR. KKONDE WENCESLAUS</t>
  </si>
  <si>
    <t>ST. MBAAGA'S MAJOR SEMINARY</t>
  </si>
  <si>
    <t>ENANGU BENARD</t>
  </si>
  <si>
    <t>NAMBI MILLY</t>
  </si>
  <si>
    <t>NABUKENYA MARGARET LUYINDA</t>
  </si>
  <si>
    <t>9513/9587</t>
  </si>
  <si>
    <t>NABUKEERA CAROL</t>
  </si>
  <si>
    <t>MATOVU ARTHUR</t>
  </si>
  <si>
    <t>NAGAWA MARIA GORRETH</t>
  </si>
  <si>
    <t>REV. FR. SSEMAKULA ACHILLES</t>
  </si>
  <si>
    <t>ST. CYPRIAN PARISH KAWANDA</t>
  </si>
  <si>
    <t>OKECH SILVER</t>
  </si>
  <si>
    <t>11477/10510</t>
  </si>
  <si>
    <t>11397/11229/11492/</t>
  </si>
  <si>
    <t>20/20/2026</t>
  </si>
  <si>
    <t>BLESSED FAMILY SACCO JINJA KALOLI</t>
  </si>
  <si>
    <t>KAMOGA TIMOTHY</t>
  </si>
  <si>
    <t>GUTEN FROODS AND CATERING SERVICES</t>
  </si>
  <si>
    <t>MIKA PRINTERS</t>
  </si>
  <si>
    <t>KIWANUKA CHARLES</t>
  </si>
  <si>
    <t>CHWATRUDE VENTURES LTD</t>
  </si>
  <si>
    <t>MAWEJJE JOHN BAPTIST</t>
  </si>
  <si>
    <t>NATIONAL SOCIAL SECURITY FUN D</t>
  </si>
  <si>
    <t>UGANDA REVENUE AUTHORITY</t>
  </si>
  <si>
    <t>URA</t>
  </si>
  <si>
    <t>11366/11373</t>
  </si>
  <si>
    <t>NSSF</t>
  </si>
  <si>
    <t>]</t>
  </si>
  <si>
    <t>NATIONAL WATER &amp; SEWERAGE CORPORATION</t>
  </si>
  <si>
    <t>MARCH 2026 EXPENDITURE FOR ACCOUNT 1285</t>
  </si>
  <si>
    <t>FEES REFUND</t>
  </si>
  <si>
    <t>SEMINARS AND WORKSHOPS</t>
  </si>
  <si>
    <t>SECURITY</t>
  </si>
  <si>
    <t>FACILITATORS FEES</t>
  </si>
  <si>
    <t>NEWS PAPERS</t>
  </si>
  <si>
    <t>REPAIRS/RENNOVATION</t>
  </si>
  <si>
    <t>EQUIPMENTS</t>
  </si>
  <si>
    <t>CARHIRE</t>
  </si>
  <si>
    <t>GABBAGE COLLECTIONS</t>
  </si>
  <si>
    <t>UNIFORMS  O LEVEL</t>
  </si>
  <si>
    <t>FUMIGATION</t>
  </si>
  <si>
    <t>BEANS</t>
  </si>
  <si>
    <t>SUGAR</t>
  </si>
  <si>
    <t>WHEAT FLOUR</t>
  </si>
  <si>
    <t>COOKING OIL</t>
  </si>
  <si>
    <t>GAMES AND SPORTS</t>
  </si>
  <si>
    <t>COMPUTER</t>
  </si>
  <si>
    <t>SCIENCE CHEMICALS AND EQUIPMENT</t>
  </si>
  <si>
    <t>COMPOUND</t>
  </si>
  <si>
    <t>REMEDIAL/EXTRA DUTY</t>
  </si>
  <si>
    <t>YAKA/ELECTRICITY BILLS</t>
  </si>
  <si>
    <t>CHILD BENEFIT</t>
  </si>
  <si>
    <t>STAFF COMMITTEE MEETING</t>
  </si>
  <si>
    <t>EXTERNAL EXAMS</t>
  </si>
  <si>
    <t>SKILLED BASED SUBJECCTS</t>
  </si>
  <si>
    <t>CONSULTANCY FEE</t>
  </si>
  <si>
    <t>SKILLED BASED SUBJECT</t>
  </si>
  <si>
    <t>SESEMAT</t>
  </si>
  <si>
    <t>CHURCH FUND</t>
  </si>
  <si>
    <t>TELEPHONE</t>
  </si>
  <si>
    <t>DETERGENTS</t>
  </si>
  <si>
    <t>LOAN REPAYMENT FROM BLESSED FAMILY</t>
  </si>
  <si>
    <t>NAGAWA CHRISTINE TAMALE</t>
  </si>
  <si>
    <t>AMPURIRA DARLEN</t>
  </si>
  <si>
    <t>MULTI CHOICE</t>
  </si>
  <si>
    <t>MUKASA,YIGA &amp; CO.LTD</t>
  </si>
  <si>
    <t>CHWATRUDE VENTURES LIMITED</t>
  </si>
  <si>
    <t xml:space="preserve">BLESSED FAMILY </t>
  </si>
  <si>
    <t>BUSINESS FRIENDS AFRICA</t>
  </si>
  <si>
    <t>OLEGA GEORGE O</t>
  </si>
  <si>
    <t>WILSEN COMMODITIES</t>
  </si>
  <si>
    <t>NTEGE KIWUMULO JAMES</t>
  </si>
  <si>
    <t>VEAM ROYAL SERVICES (SMC) LIMITED</t>
  </si>
  <si>
    <t>MAWEJJE JOHN MARY</t>
  </si>
  <si>
    <t>NALUNKUMA DORCUS</t>
  </si>
  <si>
    <t>TWINAMATSIKO ENOS</t>
  </si>
  <si>
    <t>WHIRWIND ENTERPRISES LTD</t>
  </si>
  <si>
    <t>NAKISIGE AUDREY HILDAH</t>
  </si>
  <si>
    <t>NAKANJAKO ANN</t>
  </si>
  <si>
    <t>WAGABA CRANMER</t>
  </si>
  <si>
    <t>KAMOGA TIMOTHY WOOD WORKS LTD</t>
  </si>
  <si>
    <t>NATUYAMBA STEPHEN</t>
  </si>
  <si>
    <t>HOUSE OF RICHES LIMITED</t>
  </si>
  <si>
    <t>9621/9623</t>
  </si>
  <si>
    <t>NAMATOVU CAROLINE</t>
  </si>
  <si>
    <t>NAKANWAGI KEVIN</t>
  </si>
  <si>
    <t>OWOMUGISHA GLORIA</t>
  </si>
  <si>
    <t>NETUNZE VICTORIA</t>
  </si>
  <si>
    <t>STORY TELLER FOOD SUPPLIERS</t>
  </si>
  <si>
    <t>11394/9573</t>
  </si>
  <si>
    <t>MAAGAA AND FAMILY BUSINESS POINT</t>
  </si>
  <si>
    <t>ULTRA UGANDA LIMITED</t>
  </si>
  <si>
    <t>KHANTECH INVESTMENTS(U)LIMITED</t>
  </si>
  <si>
    <t>HOMEKLIN U LIMITED</t>
  </si>
  <si>
    <t>KATOOKO BEATRICE</t>
  </si>
  <si>
    <t>RTGS</t>
  </si>
  <si>
    <t>BALAJI GROUP E.A LIMITED</t>
  </si>
  <si>
    <t xml:space="preserve">PEST SOLUTIONS </t>
  </si>
  <si>
    <t>JANDIRA INVESTMENTS LTD</t>
  </si>
  <si>
    <t>EFT</t>
  </si>
  <si>
    <t>COMPUNET TECHNOLOGIES SMC LTD</t>
  </si>
  <si>
    <t>A.N. DDAMULIRA LTD</t>
  </si>
  <si>
    <t>AGABA MOSES</t>
  </si>
  <si>
    <t>NATIONAL WATER AND SEWERAGE CORPORATION</t>
  </si>
  <si>
    <t>NAMBALYE HARRIET</t>
  </si>
  <si>
    <t>KAMPALA DISTRICT SESEMAT COMMITTEE</t>
  </si>
  <si>
    <t>SSEKASANVU SIMON</t>
  </si>
  <si>
    <t>KAMPALA ARCHDIOCESE EDUCATION FUND</t>
  </si>
  <si>
    <t>12-0302026</t>
  </si>
  <si>
    <t>MIKA PRINTERS AND DESIGNERS</t>
  </si>
  <si>
    <t>UGANDA TELECOMMUNICATIONS CORPORATION LIMITED</t>
  </si>
  <si>
    <t>11406/11395/11146/5508/9617</t>
  </si>
  <si>
    <t>KISAKYE MARY SSERUYANGE</t>
  </si>
  <si>
    <t>NAGAWA MARIA G</t>
  </si>
  <si>
    <t>APRIL 2026 EXPENDITURE FOR ACCOUNT 1285</t>
  </si>
  <si>
    <t>MATOOKE/CASSAVVA</t>
  </si>
  <si>
    <t>PROPERTY TAX</t>
  </si>
  <si>
    <t>TEALEAVES</t>
  </si>
  <si>
    <t>REMEDIALS/SUPERVISIONS</t>
  </si>
  <si>
    <t>SOCIAL CORPORATE</t>
  </si>
  <si>
    <t>SEMINARS AND WORKSHOP</t>
  </si>
  <si>
    <t>REPAIRS AND RENNOVATIONS</t>
  </si>
  <si>
    <t>BOG MEETING</t>
  </si>
  <si>
    <t>CAREERS DEVELOPMENT</t>
  </si>
  <si>
    <t>SOCIAL CORPORATE RESPONSIBILITY</t>
  </si>
  <si>
    <t>SUBSCRIPTIONS AND DIGAITAL SERVICES</t>
  </si>
  <si>
    <t>UNIFORMS</t>
  </si>
  <si>
    <t>PARTNERS VISIT</t>
  </si>
  <si>
    <t>STAFF MEALS</t>
  </si>
  <si>
    <t>DRINKING WATER</t>
  </si>
  <si>
    <t>beef</t>
  </si>
  <si>
    <t>bread</t>
  </si>
  <si>
    <t>LOAN REPAYMENT</t>
  </si>
  <si>
    <t>STAFF MEETINS</t>
  </si>
  <si>
    <t>vivian Ndagire</t>
  </si>
  <si>
    <t>SSENKINDU JOHN STEVEN</t>
  </si>
  <si>
    <t>NABUKENYA MARGARET</t>
  </si>
  <si>
    <t>NABATANZI LOVINSA</t>
  </si>
  <si>
    <t>WAGABA ,CRANMER</t>
  </si>
  <si>
    <t>FR. BALIKUDDEMBE JOSEPH</t>
  </si>
  <si>
    <t>NAKAJJUBI LIZ PATIENCE</t>
  </si>
  <si>
    <t>MBABAZI ALLEN</t>
  </si>
  <si>
    <t>NATIONAL WATER &amp;SEWERAGE CORPORATION</t>
  </si>
  <si>
    <t>NSAMBYA PARISH JUBILEE ACCOUNT</t>
  </si>
  <si>
    <t>wagaba cranmer</t>
  </si>
  <si>
    <t>mutebi charles</t>
  </si>
  <si>
    <t>NAMANDA MARY IMMACULATE</t>
  </si>
  <si>
    <t>OBOTH GEOFREY</t>
  </si>
  <si>
    <t>KANYIKE JOSEPH BWETE</t>
  </si>
  <si>
    <t xml:space="preserve">NAGAWA CHRISTINE TAMALE </t>
  </si>
  <si>
    <t>MUGEMA CHRISPUS</t>
  </si>
  <si>
    <t>SSENFUMA WILLY</t>
  </si>
  <si>
    <t>LUBEGA AHMED KASUMBA</t>
  </si>
  <si>
    <t>NTEGE JAMES KIWUMMULO</t>
  </si>
  <si>
    <t>WABWIRE POLY</t>
  </si>
  <si>
    <t>MUSANJE KASIMU</t>
  </si>
  <si>
    <t>ST KIZITO CATHOLIC PARISH</t>
  </si>
  <si>
    <t>10577/10579/10586/10589/10567/</t>
  </si>
  <si>
    <t>ARCHIBISHOP KIZITO LWANGA FOUNDATION LTD</t>
  </si>
  <si>
    <t>DEVELOPMENT FUND MPIGI PARISH</t>
  </si>
  <si>
    <t>AINEMBABAZI MARY INNOCENT</t>
  </si>
  <si>
    <t>KABUGU RONALD</t>
  </si>
  <si>
    <t>NDAGIRE MAJORINE</t>
  </si>
  <si>
    <t>NAKISIGE AUDREY H</t>
  </si>
  <si>
    <t>MAGEZI SOLUTIONS LTD</t>
  </si>
  <si>
    <t>DEN DORCS</t>
  </si>
  <si>
    <t>ERIKU BOSCO</t>
  </si>
  <si>
    <t>MAY 2026 EXPENDITURE FOR ACCOUNT 1285</t>
  </si>
  <si>
    <t>STAFF DEVELOPMENT</t>
  </si>
  <si>
    <t>BOG MEETINS</t>
  </si>
  <si>
    <t>CONSTRUCTIONS OF BOUNDARY WALLS AND GIRLS BATHROOMS WALLS</t>
  </si>
  <si>
    <t>TEMPORARY FENCE</t>
  </si>
  <si>
    <t>GENERAL REPAIRS/RENNOVATIONS</t>
  </si>
  <si>
    <t>GREENS</t>
  </si>
  <si>
    <t>ADVERTISMENT</t>
  </si>
  <si>
    <t>CONTINOUS ASSESSMENT</t>
  </si>
  <si>
    <t>SCHPAY SUBSCRIPTIONS</t>
  </si>
  <si>
    <t>TEAVES</t>
  </si>
  <si>
    <t>CHILD BENRFIT</t>
  </si>
  <si>
    <t>EQUIPMENT</t>
  </si>
  <si>
    <t>REMEDIALS</t>
  </si>
  <si>
    <t>DSTV/MULTI CHOICE</t>
  </si>
  <si>
    <t>FURNITURE PURCHASE</t>
  </si>
  <si>
    <t>CCTV CAMERA INSTALLATION</t>
  </si>
  <si>
    <t>SCIENCE CHEMICALS AND EQUIPMENTS</t>
  </si>
  <si>
    <t>BYARUHANGA PHILIP</t>
  </si>
  <si>
    <t>WATERQUIP UGANDA LIMITED</t>
  </si>
  <si>
    <t>NAKAWOOYA PHARIIDA</t>
  </si>
  <si>
    <t>MUGISH AJOEL</t>
  </si>
  <si>
    <t>BYOMUGABE BRUNO</t>
  </si>
  <si>
    <t>NAMBI SARAH</t>
  </si>
  <si>
    <t>NAMBI  SARAH</t>
  </si>
  <si>
    <t>MUDASILI LWANGA</t>
  </si>
  <si>
    <t>MUKOSE MICHAEL</t>
  </si>
  <si>
    <t>MULONGO CATERING SERVICES</t>
  </si>
  <si>
    <t>BENARD ENANGU</t>
  </si>
  <si>
    <t>AMAYO EMMANUEL</t>
  </si>
  <si>
    <t>MUKWAYA SAM</t>
  </si>
  <si>
    <t>OWEN WAGABAZA</t>
  </si>
  <si>
    <t>NATIONAL WATER $SEWERAGE CORPORATION</t>
  </si>
  <si>
    <t>KIGGUNDU MARTIN</t>
  </si>
  <si>
    <t>KACSPHERE TECH INVESTMENT COMPANY LTD-1ST INSTALLATION</t>
  </si>
  <si>
    <t>VEAM ROYAL SMC LIMITED</t>
  </si>
  <si>
    <t>BABIRYE EFRANCE DIVINE</t>
  </si>
  <si>
    <t>OCILAMUS DANIEL</t>
  </si>
  <si>
    <t>UGANDA MARTYRS CATHOLIC SHRINE NAMUGONGO</t>
  </si>
  <si>
    <t>JUNE 2026 EXPENDITURE FOR ACCOUNT 1285</t>
  </si>
  <si>
    <t>CONSTRUCTION OF PERIMETER WALL</t>
  </si>
  <si>
    <r>
      <rPr>
        <b/>
        <sz val="9"/>
        <color theme="1"/>
        <rFont val="Tahoma"/>
        <family val="2"/>
      </rPr>
      <t>NSSF 5</t>
    </r>
    <r>
      <rPr>
        <b/>
        <strike/>
        <sz val="9"/>
        <color theme="1"/>
        <rFont val="Tahoma"/>
        <family val="2"/>
      </rPr>
      <t>%</t>
    </r>
  </si>
  <si>
    <t>SAW MACHINE</t>
  </si>
  <si>
    <t>plumbing works/repairs</t>
  </si>
  <si>
    <t>HEAVY DUTY PRINTER</t>
  </si>
  <si>
    <t>DETERGENT</t>
  </si>
  <si>
    <t>UNIFORM O LEVEL</t>
  </si>
  <si>
    <t>MAGEZI</t>
  </si>
  <si>
    <t>EXTERNAL EXAMINATION</t>
  </si>
  <si>
    <t>OFFICE EXPENSES</t>
  </si>
  <si>
    <t>ST. PETERS DAY</t>
  </si>
  <si>
    <t>EXTERNAL EXAMINATIONS</t>
  </si>
  <si>
    <t>EQUIPEMENT</t>
  </si>
  <si>
    <t>MILEAGE-ADMIN</t>
  </si>
  <si>
    <t>STAFF MEETINGS</t>
  </si>
  <si>
    <t>PTA MEETING</t>
  </si>
  <si>
    <t>ACEITEKA</t>
  </si>
  <si>
    <t>VEHICLE HIRE/TENTS</t>
  </si>
  <si>
    <t>SCIENCE CHEMICALS/EQUIPMENT</t>
  </si>
  <si>
    <t>GENERAL REPAIRS/RENNOVATION</t>
  </si>
  <si>
    <t>REMEDIAL</t>
  </si>
  <si>
    <t>BREAD/STAFF BREAK FAST</t>
  </si>
  <si>
    <t>TRANSPORT</t>
  </si>
  <si>
    <t>PARTNERS VISIST</t>
  </si>
  <si>
    <t>CAREER DEVELOPMENT</t>
  </si>
  <si>
    <t>KITCHEN UTENSILS</t>
  </si>
  <si>
    <t>SEMINARS/WORKSHOPS</t>
  </si>
  <si>
    <t>DSTV SUBSCRIPTION</t>
  </si>
  <si>
    <t>MULTICHOICE UGANDA LIMITED</t>
  </si>
  <si>
    <t>KABO JIMMY</t>
  </si>
  <si>
    <t>TEBAWELWA MARGARET</t>
  </si>
  <si>
    <t>OLIGO EMMANUEL</t>
  </si>
  <si>
    <t>LAKER SUSAN</t>
  </si>
  <si>
    <t>10669/10667</t>
  </si>
  <si>
    <t xml:space="preserve">MASIKA ADRINE </t>
  </si>
  <si>
    <t>FR KIMBOWA CHARLLES</t>
  </si>
  <si>
    <t>LWANGA MUDASIRI</t>
  </si>
  <si>
    <t>SAAFU KAMPALA ARCHDIOCE</t>
  </si>
  <si>
    <t>10603/10628/10601/10629/</t>
  </si>
  <si>
    <t>VIVIAN NMDAGIRE</t>
  </si>
  <si>
    <t>NAGAWA CHRISTINE</t>
  </si>
  <si>
    <t>KISUBI SEMINARY</t>
  </si>
  <si>
    <t>SEMINARY FUND KAMPALA ARCHDIOCESE</t>
  </si>
  <si>
    <t>SSENKAYI COSMA SSEKABIRA</t>
  </si>
  <si>
    <t>10751/10749</t>
  </si>
  <si>
    <t>MUKOSE MICHAEL GABULA</t>
  </si>
  <si>
    <t>ENASNGU BENARD</t>
  </si>
  <si>
    <t>9692/10762</t>
  </si>
  <si>
    <t>KATO JOHN PAUL</t>
  </si>
  <si>
    <t>NSUBUGA EMMANUEL</t>
  </si>
  <si>
    <t>NAMANDA IMMACULATE MARY</t>
  </si>
  <si>
    <t>NTEGE JAMES KIWUMULO</t>
  </si>
  <si>
    <t>ST.PETER'S SSS NSAMBYA STAFF SAVINGS AND CREDIT SOCIETY LIMITED</t>
  </si>
  <si>
    <t>GUTEN FOODS AND CATERING SERVICES</t>
  </si>
  <si>
    <t>HUSKY OUT DOOR EQUIPMENT</t>
  </si>
  <si>
    <t>MAC EAST AFRICA</t>
  </si>
  <si>
    <t>KAMPALA ARCHIDIOCESE DEVELOPMENT EDUCATION FUND</t>
  </si>
  <si>
    <t>KACSPHERE TECH INVESTMENT COMPANY LTD</t>
  </si>
  <si>
    <t>DENDORCS</t>
  </si>
  <si>
    <t>JOIMMA ENTERPRISES LTD</t>
  </si>
  <si>
    <t>WHIRLWIND ENTERPRISES LTD</t>
  </si>
  <si>
    <t>CHWATRUDE VENTURES</t>
  </si>
  <si>
    <t>EFT 1285</t>
  </si>
  <si>
    <t>NALWANGA $ HARRIET</t>
  </si>
  <si>
    <t>MAAGA AND FAMILY BUSINESS POINT</t>
  </si>
  <si>
    <t>PEST SOLUTIONS $GEN. TRADERS U LTD</t>
  </si>
  <si>
    <t>ABACUS</t>
  </si>
  <si>
    <t>SHURIK</t>
  </si>
  <si>
    <t>RTGS-1285</t>
  </si>
  <si>
    <t>LITTLE SISTERS OF ST. FRANCIS</t>
  </si>
  <si>
    <t>WHIRLWIND ENTERPRISES LTD-PART PAYMENT</t>
  </si>
  <si>
    <t>10636/10646/</t>
  </si>
  <si>
    <t>10732/</t>
  </si>
  <si>
    <t xml:space="preserve"> </t>
  </si>
  <si>
    <t>ERINA TECHNICAL SERVICES-BOUNCED</t>
  </si>
  <si>
    <t>FR.KKONDEV WENCESLAUS</t>
  </si>
  <si>
    <t>KANYIKE CHARLES</t>
  </si>
  <si>
    <t>KIWANUKA JOSEPH SEBABI</t>
  </si>
  <si>
    <t>10700/10706/10699/1084/10745</t>
  </si>
  <si>
    <t>JULY 2026 EXPENDITURE FOR ACCOUNT 1285</t>
  </si>
  <si>
    <t>18% VAT</t>
  </si>
  <si>
    <t>10% NSSF</t>
  </si>
  <si>
    <t>CONSULTANCY FEES</t>
  </si>
  <si>
    <t>TEXTBOOKS</t>
  </si>
  <si>
    <t>UNSA</t>
  </si>
  <si>
    <t>SCIENCE CHEMICALS</t>
  </si>
  <si>
    <t>GENERAL REPAIRS AND RENNOVATIONS</t>
  </si>
  <si>
    <t>BOG</t>
  </si>
  <si>
    <t>REMEDIALS/SUPERVISION</t>
  </si>
  <si>
    <t>COMPUTERS</t>
  </si>
  <si>
    <t>ST. PETERAS DAY</t>
  </si>
  <si>
    <t>GABBAGE COLLECTION</t>
  </si>
  <si>
    <t xml:space="preserve">VEHICLE HIRE/TENTS </t>
  </si>
  <si>
    <t>DRINKING  WATER</t>
  </si>
  <si>
    <t>CCTV CAMERA</t>
  </si>
  <si>
    <t>GAMES AN D SPORT</t>
  </si>
  <si>
    <t>THE COPY CAT UGANDA LIMITED</t>
  </si>
  <si>
    <t>BEM CONCEPTS LTD</t>
  </si>
  <si>
    <t>HOUSE OF HOUSES</t>
  </si>
  <si>
    <t>NALWANGA MAURICIA</t>
  </si>
  <si>
    <t>RADIO SAPIENTIA LTD</t>
  </si>
  <si>
    <t>BALAJI GROUP EA LIMITED</t>
  </si>
  <si>
    <t>HEZRON AGENCIES</t>
  </si>
  <si>
    <t>EFT-1285</t>
  </si>
  <si>
    <t>TITAN VENTURES</t>
  </si>
  <si>
    <t>EXPLORE CAREER EXPERTS LIMITED</t>
  </si>
  <si>
    <t>NALUNKUMA DORCUS-50 BIRDS</t>
  </si>
  <si>
    <t>NALUSWA RITAH</t>
  </si>
  <si>
    <t>URA-PAYE</t>
  </si>
  <si>
    <t>URA-6%WHT</t>
  </si>
  <si>
    <t>URA-6%WHT-GUTEN FOODS</t>
  </si>
  <si>
    <t>URA-6%WHT-GUTEN FOODS,STORYTELLER, JANDIRA</t>
  </si>
  <si>
    <t>URA-6%WHT-HOUSE OF RICHES,HEZRON,RADIO SAPIENTIA,WILSEN</t>
  </si>
  <si>
    <t>KAYARIMPA CATHERINE</t>
  </si>
  <si>
    <t>NAKYANZI DEBORAH</t>
  </si>
  <si>
    <t>MBABAZI DEUS</t>
  </si>
  <si>
    <t>SR.ROSEMARY NALUKWAGO</t>
  </si>
  <si>
    <t>UGANDA NATIONAL STUDENTS ASSOCIATION</t>
  </si>
  <si>
    <t>EDISON WALUSIMBI</t>
  </si>
  <si>
    <t xml:space="preserve">VIVIAN NDAGIRE </t>
  </si>
  <si>
    <t>UEC UGANDA CHRISTIAN STUDENTS</t>
  </si>
  <si>
    <t>OKUNI STEPHEN</t>
  </si>
  <si>
    <t>KAMPALA ARCHDIOCESE COMMUNICATIONS</t>
  </si>
  <si>
    <t>LUBAGA  CATHEDRAL YOUTH APOSTOLATE</t>
  </si>
  <si>
    <t>NSAMBYA BABIES HOME</t>
  </si>
  <si>
    <t>SSERWANO RICHARD</t>
  </si>
  <si>
    <t>MUGABE DANTHAN</t>
  </si>
  <si>
    <t>URA-WHT 6%</t>
  </si>
  <si>
    <t>AUGUST 2026 EXPENDITURE FOR ACCOUNT 1285</t>
  </si>
  <si>
    <t>WATERQUIP</t>
  </si>
  <si>
    <t>5889J200</t>
  </si>
  <si>
    <t>FEBRUARY 2026 EXPENDITURE FOR ACCOUNT 508</t>
  </si>
  <si>
    <t>MARCH 2026 EXPENDITURE FOR ACCOUNT 508</t>
  </si>
  <si>
    <t>REMEDIAL/EXTRA</t>
  </si>
  <si>
    <t>UNIFORM A LEVEL</t>
  </si>
  <si>
    <t>ADVERTISEMENT</t>
  </si>
  <si>
    <t>TRANSPORT REFUN</t>
  </si>
  <si>
    <t>JOHN MARY SSEBUNNYA</t>
  </si>
  <si>
    <t>CLANOK GARMENTS UGANDA LTD</t>
  </si>
  <si>
    <t>TWIZ QUICK SUPPLIERS AND SERVICES</t>
  </si>
  <si>
    <t>9581/14333</t>
  </si>
  <si>
    <t>KAMPALA ARCHDIOCESE YOUTH APOSTOLATE</t>
  </si>
  <si>
    <t>MASEMBE JUDE</t>
  </si>
  <si>
    <t>SHURIK LTD</t>
  </si>
  <si>
    <t>ST. FRANCIS HOSPITAL NSAMBYA TRAINNIG SCHOOL</t>
  </si>
  <si>
    <t>10532/10536/10543/9518/1054010538/10541/10542/10539/10533/10534</t>
  </si>
  <si>
    <t>APRIL 2026 EXPENDITURE FOR ACCOUNT 508</t>
  </si>
  <si>
    <t>508 EXPENDITURECANALYSIS FOR MAY2026</t>
  </si>
  <si>
    <t>CHQ NO.</t>
  </si>
  <si>
    <t>PV. NO.</t>
  </si>
  <si>
    <t>COMPENSATION OF SQUARTERS</t>
  </si>
  <si>
    <t>508 JUNE UEXPENDITURE ANALYSIS</t>
  </si>
  <si>
    <t>UNIFORMS A LEVEL</t>
  </si>
  <si>
    <t>EFT 508</t>
  </si>
  <si>
    <t>TWIZ QUICK SUPPLIES</t>
  </si>
  <si>
    <t>KIGGUNDU STEPHEN</t>
  </si>
  <si>
    <t>EXPENDITURE ANALYSIS FOR ACCOUNT 508 FOR THE MONTH OF JULY 2026</t>
  </si>
  <si>
    <t>CLANOK GARMENTS LIMITED</t>
  </si>
  <si>
    <t>ZACK OLOWO ADVOCATES &amp;SOLICITORS</t>
  </si>
  <si>
    <t>JANUUARY 2026 EXPENDITURE FOR ACCOUNT 201</t>
  </si>
  <si>
    <t>FEBRUARY 2026 EXPENDITURE FOR ACCOUNT 201</t>
  </si>
  <si>
    <t>FLORENCE WINFRED NAKAWEESA</t>
  </si>
  <si>
    <t>MARCH 2026 EXPENDITURE FOR ACCOUNT 201</t>
  </si>
  <si>
    <t>APRIL 2026 EXPENDITURE FOR ACCOUNT 201</t>
  </si>
  <si>
    <t>MAY 2026 EXPENDITURE FOR ACCOUNT 201</t>
  </si>
  <si>
    <t>JUNE 2026 EXPENDITURE ANALYSIS FOR A/C 201</t>
  </si>
  <si>
    <t>UNEB 'A'LEVEL</t>
  </si>
  <si>
    <t>UNEB 'O'LEVEL</t>
  </si>
  <si>
    <t>UGANDA NATIONAL EXAMINATIONS BOARD=E58813</t>
  </si>
  <si>
    <t>UGANDA NATIONAL EXAMINATIONS BOARD-A588725</t>
  </si>
  <si>
    <t>UGANDA NATIONAL EXAMINATIONS BOARD-A588726</t>
  </si>
  <si>
    <t>UGANDA NATIONAL EXAMINATIONS BOARD</t>
  </si>
  <si>
    <t>JULY 2026 EXPENDITURE ANALYSIS FOR A/C 201</t>
  </si>
  <si>
    <r>
      <rPr>
        <b/>
        <sz val="9"/>
        <color theme="1"/>
        <rFont val="Tahoma"/>
        <family val="2"/>
      </rPr>
      <t>18</t>
    </r>
    <r>
      <rPr>
        <b/>
        <strike/>
        <sz val="9"/>
        <color theme="1"/>
        <rFont val="Tahoma"/>
        <family val="2"/>
      </rPr>
      <t>%VAT</t>
    </r>
  </si>
  <si>
    <t>BINDING OF TEXT BOOKS/LIBRARY</t>
  </si>
  <si>
    <t>STAFF MEETING</t>
  </si>
  <si>
    <t>BREAD /BREAK TEA</t>
  </si>
  <si>
    <t>SCIENCE CHEMICALS/EQUIPMENTS</t>
  </si>
  <si>
    <t>OFFICE EXP</t>
  </si>
  <si>
    <t>HIRE OF TENTS AND CHAIRS</t>
  </si>
  <si>
    <t>URA-6%WHT from Guten foods,maaga and family</t>
  </si>
  <si>
    <t>babirye efrance Divine</t>
  </si>
  <si>
    <t>GIDEON LUYINDA KATO</t>
  </si>
  <si>
    <t>UTRA UGANDA</t>
  </si>
  <si>
    <t>MAAGA AND FAMILY</t>
  </si>
  <si>
    <t>ERINAR TECHNICAL SERVICES-1ST PAYMENT</t>
  </si>
  <si>
    <t>RADIO SAPIENTIA</t>
  </si>
  <si>
    <t>STANBIC BANK</t>
  </si>
  <si>
    <t>NDANDA  ANTONIO EDGAR</t>
  </si>
  <si>
    <t>KAZIBWE JOSEPH</t>
  </si>
  <si>
    <t>AUGUST 2026 EXPENDITURE ANALYSIS FOR A/C 201</t>
  </si>
  <si>
    <t>BINDING TEXT BOOKS/NEWS PAPERS</t>
  </si>
  <si>
    <t>ST. PETERS SS NSAMBYA STAFF SAVINGS AND CREDI COOPERATIVE SOCIETY LIMITED</t>
  </si>
  <si>
    <t>NAMIRIMU BARBRA</t>
  </si>
  <si>
    <t xml:space="preserve"> JANUARY TO JULY 2026 EXPENDITURE FOR ACCOUNT 518</t>
  </si>
  <si>
    <t>Item</t>
  </si>
  <si>
    <t>Code</t>
  </si>
  <si>
    <r>
      <t xml:space="preserve"> </t>
    </r>
    <r>
      <rPr>
        <b/>
        <sz val="9"/>
        <color rgb="FF000000"/>
        <rFont val="Tahoma"/>
        <family val="2"/>
      </rPr>
      <t>6% WHT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</si>
  <si>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ADVERTISMENT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</si>
  <si>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BANK CHARGES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</si>
  <si>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beef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</si>
  <si>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11"/>
        <color rgb="FF000000"/>
        <rFont val="Calibri"/>
        <family val="2"/>
      </rPr>
      <t>BEEF/CHICKEN/STAFF BUFFET</t>
    </r>
    <r>
      <rPr>
        <b/>
        <sz val="11"/>
        <color rgb="FF000000"/>
        <rFont val="Calibri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</si>
  <si>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BOG MEETING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</si>
  <si>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BOG MEETINS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</si>
  <si>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bread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</si>
  <si>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BREAD/STAFF BREAK FAST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</si>
  <si>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CAREER DEVELOPMENT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</si>
  <si>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CAREERS DEVELOPMENT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</si>
  <si>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CCTV CAMERA INSTALLATION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</si>
  <si>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CHILD BENEFIT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</si>
  <si>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CHURCH FUND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</si>
  <si>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CLUBS/SOCIETIES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</si>
  <si>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11"/>
        <color rgb="FF000000"/>
        <rFont val="Calibri"/>
        <family val="2"/>
      </rPr>
      <t>COMPOUND MAINTANENCE</t>
    </r>
    <r>
      <rPr>
        <b/>
        <sz val="11"/>
        <color rgb="FF000000"/>
        <rFont val="Calibri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</si>
  <si>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CONDOLENCES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</si>
  <si>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CONSTRUCTION OF PERIMETER WALL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</si>
  <si>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CONSTRUCTIONS OF BOUNDARY WALLS AND GIRLS BATHROOMS WALLS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</si>
  <si>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DETERGENT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</si>
  <si>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DSTV SUBSCRIPTION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</si>
  <si>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DSTV/MULTI CHOICE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</si>
  <si>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EQUIPMENT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</si>
  <si>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FIREWOOD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</si>
  <si>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FUMIGATION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</si>
  <si>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FURNITURE PURCHASE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</si>
  <si>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GENERAL REPAIRS/RENNOVATIONS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</si>
  <si>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GREENS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</si>
  <si>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HEAVY DUTY PRINTER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</si>
  <si>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HOUSE RENT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</si>
  <si>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HOUSERENT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</si>
  <si>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KITCHEN UTENSILS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</si>
  <si>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LITURGY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</si>
  <si>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LOAN REPAYMENT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</si>
  <si>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MAIZE FLOUR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</si>
  <si>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MATOOKE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</si>
  <si>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MATOOKE/CASSAVVA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</si>
  <si>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MEDICAL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</si>
  <si>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NEWS PAPERS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</si>
  <si>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NSSF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</si>
  <si>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NSSF 10%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</si>
  <si>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NSSF 5%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</si>
  <si>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PAINTING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</si>
  <si>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PARTNERS VISIST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</si>
  <si>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PARTNERS VISIT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</si>
  <si>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plumbing works/repairs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</si>
  <si>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PROPERTY TAX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</si>
  <si>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10"/>
        <color rgb="FF000000"/>
        <rFont val="Calibri"/>
        <family val="2"/>
      </rPr>
      <t>REMEDIAL TEACHING/EXTRA DUTY</t>
    </r>
    <r>
      <rPr>
        <b/>
        <sz val="10"/>
        <color rgb="FF000000"/>
        <rFont val="Calibri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</si>
  <si>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REMEDIALS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</si>
  <si>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REMEDIALS/SUPERVISIONS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</si>
  <si>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REPAIRS AND RENNOVATIONS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</si>
  <si>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SAW MACHINE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</si>
  <si>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SCHPAY SUBSCRIPTIONS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</si>
  <si>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SCIENCE CHEMICALS AND EQUIPMENTS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</si>
  <si>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SEMINARS AND WORKSHOP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</si>
  <si>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SEMINARS/WORKSHOPS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</si>
  <si>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SKILLED BASED SUBJECT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</si>
  <si>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SOCIAL CORPORATE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</si>
  <si>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SOCIAL CORPORATE RESPONSIBILITY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</si>
  <si>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STAFF DEVELOPMENT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</si>
  <si>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STAFF MEALS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</si>
  <si>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STAFF MEETINS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</si>
  <si>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STATIONERY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</si>
  <si>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SUBSCRIPTIONS AND DIGAITAL SERVICES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</si>
  <si>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TEAVES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</si>
  <si>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TELEPHONE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</si>
  <si>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TEMPORARY FENCE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</si>
  <si>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TRANSPORT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</si>
  <si>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TRANSPORT REFUND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</si>
  <si>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UNIFORM O LEVEL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</si>
  <si>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UNIFORMS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</si>
  <si>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VEHICLE REPAIRS</t>
    </r>
    <r>
      <rPr>
        <b/>
        <sz val="9"/>
        <color rgb="FF000000"/>
        <rFont val="Tahoma"/>
        <family val="2"/>
      </rPr>
      <t xml:space="preserve"> </t>
    </r>
  </si>
  <si>
    <r>
      <t xml:space="preserve"> </t>
    </r>
    <r>
      <rPr>
        <b/>
        <sz val="9"/>
        <color rgb="FF000000"/>
        <rFont val="Tahoma"/>
        <family val="2"/>
      </rPr>
      <t>YAKA</t>
    </r>
    <r>
      <rPr>
        <b/>
        <sz val="9"/>
        <color rgb="FF000000"/>
        <rFont val="Tahoma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</si>
</sst>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4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TahomaA"/>
      <charset val="134"/>
    </font>
    <font>
      <b/>
      <sz val="10"/>
      <color theme="1"/>
      <name val="TahomaA"/>
      <charset val="134"/>
    </font>
    <font>
      <sz val="10"/>
      <color theme="1"/>
      <name val="Tahoma"/>
      <family val="2"/>
    </font>
    <font>
      <b/>
      <sz val="11"/>
      <color theme="1"/>
      <name val="Tahoma"/>
      <family val="2"/>
    </font>
    <font>
      <b/>
      <sz val="9"/>
      <color theme="1"/>
      <name val="Tahoma"/>
      <family val="2"/>
    </font>
    <font>
      <sz val="9"/>
      <color theme="1"/>
      <name val="Tahoma"/>
      <family val="2"/>
    </font>
    <font>
      <sz val="11"/>
      <color theme="1"/>
      <name val="Tahoma"/>
      <family val="2"/>
    </font>
    <font>
      <b/>
      <sz val="10"/>
      <color theme="1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3"/>
      <color theme="1"/>
      <name val="Tahoma"/>
      <family val="2"/>
    </font>
    <font>
      <b/>
      <sz val="14"/>
      <color theme="1"/>
      <name val="Tahoma"/>
      <family val="2"/>
    </font>
    <font>
      <b/>
      <sz val="11"/>
      <color theme="1"/>
      <name val="Tahoma\"/>
      <charset val="134"/>
    </font>
    <font>
      <b/>
      <sz val="9"/>
      <color theme="1"/>
      <name val="Tahoma\"/>
      <charset val="134"/>
    </font>
    <font>
      <sz val="9"/>
      <color theme="1"/>
      <name val="Tahoma\"/>
      <charset val="134"/>
    </font>
    <font>
      <b/>
      <sz val="10"/>
      <color theme="1"/>
      <name val="Tahoma\"/>
      <charset val="134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Tahoma"/>
      <family val="2"/>
    </font>
    <font>
      <sz val="9"/>
      <name val="Tahoma"/>
      <family val="2"/>
    </font>
    <font>
      <b/>
      <sz val="8"/>
      <color theme="1"/>
      <name val="Tahoma"/>
      <family val="2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trike/>
      <sz val="9"/>
      <color theme="1"/>
      <name val="Tahoma"/>
      <family val="2"/>
    </font>
    <font>
      <u/>
      <sz val="11"/>
      <color theme="1"/>
      <name val="Calibri"/>
      <family val="2"/>
      <scheme val="minor"/>
    </font>
    <font>
      <b/>
      <sz val="9"/>
      <name val="Tahoma"/>
      <family val="2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450666829432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1" fontId="39" fillId="0" borderId="0" applyFont="0" applyFill="0" applyBorder="0" applyAlignment="0" applyProtection="0"/>
  </cellStyleXfs>
  <cellXfs count="351">
    <xf numFmtId="0" fontId="0" fillId="0" borderId="0" xfId="0"/>
    <xf numFmtId="0" fontId="2" fillId="0" borderId="0" xfId="0" applyFont="1"/>
    <xf numFmtId="41" fontId="3" fillId="0" borderId="1" xfId="0" applyNumberFormat="1" applyFont="1" applyBorder="1" applyAlignment="1">
      <alignment wrapText="1"/>
    </xf>
    <xf numFmtId="0" fontId="4" fillId="0" borderId="0" xfId="0" applyFont="1"/>
    <xf numFmtId="0" fontId="3" fillId="0" borderId="2" xfId="0" applyFont="1" applyBorder="1" applyAlignment="1">
      <alignment wrapText="1"/>
    </xf>
    <xf numFmtId="41" fontId="3" fillId="0" borderId="2" xfId="0" applyNumberFormat="1" applyFont="1" applyBorder="1" applyAlignment="1">
      <alignment wrapText="1"/>
    </xf>
    <xf numFmtId="41" fontId="5" fillId="0" borderId="2" xfId="0" applyNumberFormat="1" applyFont="1" applyBorder="1" applyAlignment="1">
      <alignment wrapText="1"/>
    </xf>
    <xf numFmtId="41" fontId="6" fillId="0" borderId="2" xfId="0" applyNumberFormat="1" applyFont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7" fillId="0" borderId="0" xfId="0" applyFont="1"/>
    <xf numFmtId="0" fontId="8" fillId="0" borderId="0" xfId="0" applyFont="1"/>
    <xf numFmtId="41" fontId="8" fillId="0" borderId="0" xfId="1" applyFont="1"/>
    <xf numFmtId="0" fontId="8" fillId="0" borderId="3" xfId="0" applyFont="1" applyBorder="1"/>
    <xf numFmtId="0" fontId="8" fillId="0" borderId="3" xfId="0" applyFont="1" applyBorder="1" applyAlignment="1">
      <alignment wrapText="1"/>
    </xf>
    <xf numFmtId="41" fontId="8" fillId="0" borderId="3" xfId="1" applyFont="1" applyBorder="1"/>
    <xf numFmtId="41" fontId="8" fillId="0" borderId="3" xfId="1" applyFont="1" applyBorder="1" applyAlignment="1">
      <alignment wrapText="1"/>
    </xf>
    <xf numFmtId="0" fontId="7" fillId="0" borderId="3" xfId="0" applyFont="1" applyBorder="1"/>
    <xf numFmtId="14" fontId="7" fillId="0" borderId="3" xfId="0" applyNumberFormat="1" applyFont="1" applyBorder="1"/>
    <xf numFmtId="41" fontId="7" fillId="0" borderId="3" xfId="1" applyFont="1" applyBorder="1"/>
    <xf numFmtId="41" fontId="7" fillId="0" borderId="3" xfId="0" applyNumberFormat="1" applyFont="1" applyBorder="1"/>
    <xf numFmtId="0" fontId="0" fillId="0" borderId="0" xfId="0" applyAlignment="1">
      <alignment wrapText="1"/>
    </xf>
    <xf numFmtId="0" fontId="9" fillId="0" borderId="0" xfId="0" applyFont="1"/>
    <xf numFmtId="0" fontId="10" fillId="0" borderId="0" xfId="0" applyFont="1"/>
    <xf numFmtId="0" fontId="11" fillId="0" borderId="3" xfId="0" applyFont="1" applyBorder="1" applyAlignment="1">
      <alignment wrapText="1"/>
    </xf>
    <xf numFmtId="0" fontId="11" fillId="0" borderId="3" xfId="0" applyFont="1" applyBorder="1" applyAlignment="1">
      <alignment horizontal="right" wrapText="1"/>
    </xf>
    <xf numFmtId="41" fontId="11" fillId="0" borderId="3" xfId="1" applyFont="1" applyFill="1" applyBorder="1" applyAlignment="1">
      <alignment wrapText="1"/>
    </xf>
    <xf numFmtId="41" fontId="11" fillId="0" borderId="3" xfId="1" applyFont="1" applyBorder="1" applyAlignment="1">
      <alignment wrapText="1"/>
    </xf>
    <xf numFmtId="41" fontId="11" fillId="0" borderId="0" xfId="1" applyFont="1" applyBorder="1" applyAlignment="1">
      <alignment wrapText="1"/>
    </xf>
    <xf numFmtId="41" fontId="9" fillId="0" borderId="3" xfId="1" applyFont="1" applyBorder="1" applyAlignment="1">
      <alignment wrapText="1"/>
    </xf>
    <xf numFmtId="41" fontId="11" fillId="0" borderId="0" xfId="1" applyFont="1" applyFill="1" applyBorder="1" applyAlignment="1">
      <alignment wrapText="1"/>
    </xf>
    <xf numFmtId="14" fontId="9" fillId="0" borderId="3" xfId="0" applyNumberFormat="1" applyFont="1" applyBorder="1"/>
    <xf numFmtId="0" fontId="9" fillId="0" borderId="3" xfId="0" applyFont="1" applyBorder="1" applyAlignment="1">
      <alignment wrapText="1"/>
    </xf>
    <xf numFmtId="0" fontId="9" fillId="0" borderId="3" xfId="0" applyFont="1" applyBorder="1"/>
    <xf numFmtId="41" fontId="9" fillId="0" borderId="3" xfId="1" applyFont="1" applyBorder="1"/>
    <xf numFmtId="41" fontId="9" fillId="0" borderId="3" xfId="0" applyNumberFormat="1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3" fillId="0" borderId="0" xfId="0" applyFont="1"/>
    <xf numFmtId="0" fontId="11" fillId="0" borderId="0" xfId="0" applyFont="1" applyAlignment="1">
      <alignment wrapText="1"/>
    </xf>
    <xf numFmtId="0" fontId="9" fillId="3" borderId="0" xfId="0" applyFont="1" applyFill="1" applyAlignment="1">
      <alignment wrapText="1"/>
    </xf>
    <xf numFmtId="0" fontId="12" fillId="3" borderId="0" xfId="0" applyFont="1" applyFill="1" applyAlignment="1">
      <alignment wrapText="1"/>
    </xf>
    <xf numFmtId="0" fontId="12" fillId="3" borderId="0" xfId="0" applyFont="1" applyFill="1"/>
    <xf numFmtId="0" fontId="9" fillId="3" borderId="0" xfId="0" applyFont="1" applyFill="1"/>
    <xf numFmtId="41" fontId="9" fillId="0" borderId="0" xfId="1" applyFont="1"/>
    <xf numFmtId="41" fontId="13" fillId="0" borderId="0" xfId="1" applyFont="1"/>
    <xf numFmtId="14" fontId="9" fillId="3" borderId="3" xfId="0" applyNumberFormat="1" applyFont="1" applyFill="1" applyBorder="1" applyAlignment="1">
      <alignment wrapText="1"/>
    </xf>
    <xf numFmtId="0" fontId="9" fillId="3" borderId="3" xfId="0" applyFont="1" applyFill="1" applyBorder="1" applyAlignment="1">
      <alignment wrapText="1"/>
    </xf>
    <xf numFmtId="0" fontId="9" fillId="3" borderId="3" xfId="0" applyFont="1" applyFill="1" applyBorder="1" applyAlignment="1">
      <alignment horizontal="right" wrapText="1"/>
    </xf>
    <xf numFmtId="41" fontId="9" fillId="3" borderId="3" xfId="1" applyFont="1" applyFill="1" applyBorder="1" applyAlignment="1">
      <alignment wrapText="1"/>
    </xf>
    <xf numFmtId="41" fontId="9" fillId="3" borderId="3" xfId="0" applyNumberFormat="1" applyFont="1" applyFill="1" applyBorder="1" applyAlignment="1">
      <alignment wrapText="1"/>
    </xf>
    <xf numFmtId="14" fontId="12" fillId="3" borderId="3" xfId="0" applyNumberFormat="1" applyFont="1" applyFill="1" applyBorder="1" applyAlignment="1">
      <alignment wrapText="1"/>
    </xf>
    <xf numFmtId="0" fontId="12" fillId="3" borderId="3" xfId="0" applyFont="1" applyFill="1" applyBorder="1" applyAlignment="1">
      <alignment wrapText="1"/>
    </xf>
    <xf numFmtId="0" fontId="12" fillId="3" borderId="3" xfId="0" applyFont="1" applyFill="1" applyBorder="1" applyAlignment="1">
      <alignment horizontal="right" wrapText="1"/>
    </xf>
    <xf numFmtId="41" fontId="12" fillId="3" borderId="3" xfId="1" applyFont="1" applyFill="1" applyBorder="1" applyAlignment="1">
      <alignment wrapText="1"/>
    </xf>
    <xf numFmtId="14" fontId="12" fillId="3" borderId="3" xfId="0" applyNumberFormat="1" applyFont="1" applyFill="1" applyBorder="1"/>
    <xf numFmtId="0" fontId="12" fillId="3" borderId="3" xfId="0" applyFont="1" applyFill="1" applyBorder="1"/>
    <xf numFmtId="41" fontId="12" fillId="3" borderId="3" xfId="1" applyFont="1" applyFill="1" applyBorder="1"/>
    <xf numFmtId="41" fontId="12" fillId="3" borderId="0" xfId="1" applyFont="1" applyFill="1"/>
    <xf numFmtId="0" fontId="9" fillId="3" borderId="3" xfId="0" applyFont="1" applyFill="1" applyBorder="1"/>
    <xf numFmtId="41" fontId="9" fillId="3" borderId="3" xfId="1" applyFont="1" applyFill="1" applyBorder="1"/>
    <xf numFmtId="14" fontId="9" fillId="3" borderId="3" xfId="0" applyNumberFormat="1" applyFont="1" applyFill="1" applyBorder="1"/>
    <xf numFmtId="41" fontId="12" fillId="0" borderId="3" xfId="1" applyFont="1" applyBorder="1"/>
    <xf numFmtId="0" fontId="14" fillId="0" borderId="0" xfId="0" applyFont="1"/>
    <xf numFmtId="0" fontId="14" fillId="0" borderId="3" xfId="0" applyFont="1" applyBorder="1"/>
    <xf numFmtId="0" fontId="14" fillId="0" borderId="3" xfId="0" applyFont="1" applyBorder="1" applyAlignment="1">
      <alignment wrapText="1"/>
    </xf>
    <xf numFmtId="0" fontId="14" fillId="0" borderId="3" xfId="0" applyFont="1" applyBorder="1" applyAlignment="1">
      <alignment horizontal="right"/>
    </xf>
    <xf numFmtId="41" fontId="14" fillId="0" borderId="3" xfId="1" applyFont="1" applyFill="1" applyBorder="1"/>
    <xf numFmtId="41" fontId="14" fillId="0" borderId="3" xfId="1" applyFont="1" applyBorder="1" applyAlignment="1">
      <alignment wrapText="1"/>
    </xf>
    <xf numFmtId="41" fontId="14" fillId="0" borderId="3" xfId="1" applyFont="1" applyBorder="1"/>
    <xf numFmtId="41" fontId="14" fillId="0" borderId="0" xfId="1" applyFont="1"/>
    <xf numFmtId="0" fontId="0" fillId="0" borderId="3" xfId="0" applyBorder="1"/>
    <xf numFmtId="0" fontId="15" fillId="0" borderId="0" xfId="0" applyFont="1"/>
    <xf numFmtId="0" fontId="16" fillId="0" borderId="0" xfId="0" applyFont="1"/>
    <xf numFmtId="41" fontId="15" fillId="0" borderId="0" xfId="1" applyFont="1"/>
    <xf numFmtId="0" fontId="17" fillId="0" borderId="0" xfId="0" applyFont="1"/>
    <xf numFmtId="0" fontId="18" fillId="0" borderId="0" xfId="0" applyFont="1"/>
    <xf numFmtId="41" fontId="17" fillId="0" borderId="0" xfId="1" applyFont="1"/>
    <xf numFmtId="0" fontId="10" fillId="0" borderId="3" xfId="0" applyFont="1" applyBorder="1"/>
    <xf numFmtId="0" fontId="10" fillId="0" borderId="3" xfId="0" applyFont="1" applyBorder="1" applyAlignment="1">
      <alignment wrapText="1"/>
    </xf>
    <xf numFmtId="41" fontId="10" fillId="0" borderId="3" xfId="1" applyFont="1" applyBorder="1"/>
    <xf numFmtId="41" fontId="10" fillId="0" borderId="3" xfId="1" applyFont="1" applyBorder="1" applyAlignment="1">
      <alignment wrapText="1"/>
    </xf>
    <xf numFmtId="0" fontId="13" fillId="0" borderId="3" xfId="0" applyFont="1" applyBorder="1"/>
    <xf numFmtId="14" fontId="13" fillId="0" borderId="3" xfId="0" applyNumberFormat="1" applyFont="1" applyBorder="1"/>
    <xf numFmtId="41" fontId="13" fillId="0" borderId="3" xfId="1" applyFont="1" applyBorder="1"/>
    <xf numFmtId="41" fontId="13" fillId="0" borderId="3" xfId="0" applyNumberFormat="1" applyFont="1" applyBorder="1"/>
    <xf numFmtId="0" fontId="10" fillId="0" borderId="0" xfId="0" applyFont="1" applyAlignment="1">
      <alignment wrapText="1"/>
    </xf>
    <xf numFmtId="41" fontId="18" fillId="0" borderId="0" xfId="1" applyFont="1"/>
    <xf numFmtId="41" fontId="10" fillId="0" borderId="0" xfId="1" applyFont="1" applyAlignment="1">
      <alignment wrapText="1"/>
    </xf>
    <xf numFmtId="0" fontId="13" fillId="0" borderId="3" xfId="0" applyFont="1" applyBorder="1" applyAlignment="1">
      <alignment wrapText="1"/>
    </xf>
    <xf numFmtId="41" fontId="10" fillId="0" borderId="0" xfId="1" applyFont="1"/>
    <xf numFmtId="0" fontId="19" fillId="0" borderId="0" xfId="0" applyFont="1"/>
    <xf numFmtId="0" fontId="20" fillId="0" borderId="0" xfId="0" applyFont="1" applyAlignment="1">
      <alignment wrapText="1"/>
    </xf>
    <xf numFmtId="0" fontId="12" fillId="4" borderId="0" xfId="0" applyFont="1" applyFill="1"/>
    <xf numFmtId="0" fontId="21" fillId="4" borderId="0" xfId="0" applyFont="1" applyFill="1"/>
    <xf numFmtId="0" fontId="22" fillId="0" borderId="0" xfId="0" applyFont="1"/>
    <xf numFmtId="0" fontId="21" fillId="0" borderId="0" xfId="0" applyFont="1"/>
    <xf numFmtId="41" fontId="21" fillId="0" borderId="0" xfId="1" applyFont="1"/>
    <xf numFmtId="41" fontId="19" fillId="0" borderId="0" xfId="1" applyFont="1"/>
    <xf numFmtId="0" fontId="20" fillId="0" borderId="3" xfId="0" applyFont="1" applyBorder="1" applyAlignment="1">
      <alignment wrapText="1"/>
    </xf>
    <xf numFmtId="41" fontId="20" fillId="0" borderId="3" xfId="1" applyFont="1" applyBorder="1" applyAlignment="1">
      <alignment wrapText="1"/>
    </xf>
    <xf numFmtId="41" fontId="20" fillId="0" borderId="0" xfId="1" applyFont="1" applyAlignment="1">
      <alignment wrapText="1"/>
    </xf>
    <xf numFmtId="14" fontId="12" fillId="4" borderId="3" xfId="0" applyNumberFormat="1" applyFont="1" applyFill="1" applyBorder="1"/>
    <xf numFmtId="0" fontId="12" fillId="4" borderId="3" xfId="0" applyFont="1" applyFill="1" applyBorder="1"/>
    <xf numFmtId="41" fontId="12" fillId="4" borderId="3" xfId="1" applyFont="1" applyFill="1" applyBorder="1"/>
    <xf numFmtId="41" fontId="12" fillId="4" borderId="0" xfId="1" applyFont="1" applyFill="1"/>
    <xf numFmtId="41" fontId="12" fillId="4" borderId="4" xfId="1" applyFont="1" applyFill="1" applyBorder="1"/>
    <xf numFmtId="0" fontId="12" fillId="4" borderId="3" xfId="0" applyFont="1" applyFill="1" applyBorder="1" applyAlignment="1">
      <alignment wrapText="1"/>
    </xf>
    <xf numFmtId="14" fontId="21" fillId="4" borderId="3" xfId="0" applyNumberFormat="1" applyFont="1" applyFill="1" applyBorder="1"/>
    <xf numFmtId="0" fontId="21" fillId="4" borderId="3" xfId="0" applyFont="1" applyFill="1" applyBorder="1"/>
    <xf numFmtId="41" fontId="21" fillId="4" borderId="3" xfId="1" applyFont="1" applyFill="1" applyBorder="1"/>
    <xf numFmtId="41" fontId="21" fillId="4" borderId="0" xfId="1" applyFont="1" applyFill="1"/>
    <xf numFmtId="0" fontId="21" fillId="0" borderId="3" xfId="0" applyFont="1" applyBorder="1"/>
    <xf numFmtId="41" fontId="21" fillId="0" borderId="3" xfId="1" applyFont="1" applyBorder="1"/>
    <xf numFmtId="0" fontId="22" fillId="0" borderId="3" xfId="0" applyFont="1" applyBorder="1"/>
    <xf numFmtId="41" fontId="22" fillId="0" borderId="3" xfId="1" applyFont="1" applyBorder="1"/>
    <xf numFmtId="41" fontId="22" fillId="0" borderId="0" xfId="1" applyFont="1"/>
    <xf numFmtId="0" fontId="23" fillId="0" borderId="0" xfId="0" applyFont="1"/>
    <xf numFmtId="41" fontId="0" fillId="0" borderId="0" xfId="1" applyFont="1"/>
    <xf numFmtId="41" fontId="23" fillId="0" borderId="0" xfId="1" applyFont="1"/>
    <xf numFmtId="41" fontId="23" fillId="0" borderId="0" xfId="1" applyFont="1" applyFill="1"/>
    <xf numFmtId="0" fontId="2" fillId="0" borderId="3" xfId="0" applyFont="1" applyBorder="1" applyAlignment="1">
      <alignment wrapText="1"/>
    </xf>
    <xf numFmtId="41" fontId="2" fillId="0" borderId="3" xfId="1" applyFont="1" applyFill="1" applyBorder="1" applyAlignment="1">
      <alignment wrapText="1"/>
    </xf>
    <xf numFmtId="41" fontId="2" fillId="0" borderId="3" xfId="1" applyFont="1" applyBorder="1" applyAlignment="1">
      <alignment wrapText="1"/>
    </xf>
    <xf numFmtId="41" fontId="0" fillId="0" borderId="3" xfId="1" applyFont="1" applyBorder="1"/>
    <xf numFmtId="14" fontId="0" fillId="0" borderId="3" xfId="0" applyNumberFormat="1" applyBorder="1"/>
    <xf numFmtId="0" fontId="24" fillId="0" borderId="0" xfId="0" applyFont="1" applyAlignment="1">
      <alignment wrapText="1"/>
    </xf>
    <xf numFmtId="0" fontId="25" fillId="0" borderId="0" xfId="0" applyFont="1"/>
    <xf numFmtId="41" fontId="0" fillId="0" borderId="0" xfId="1" applyFont="1" applyFill="1"/>
    <xf numFmtId="0" fontId="24" fillId="0" borderId="3" xfId="0" applyFont="1" applyBorder="1" applyAlignment="1">
      <alignment wrapText="1"/>
    </xf>
    <xf numFmtId="41" fontId="24" fillId="0" borderId="3" xfId="1" applyFont="1" applyFill="1" applyBorder="1" applyAlignment="1">
      <alignment wrapText="1"/>
    </xf>
    <xf numFmtId="41" fontId="24" fillId="0" borderId="0" xfId="1" applyFont="1" applyFill="1" applyAlignment="1">
      <alignment wrapText="1"/>
    </xf>
    <xf numFmtId="0" fontId="0" fillId="0" borderId="3" xfId="0" applyBorder="1" applyAlignment="1">
      <alignment wrapText="1"/>
    </xf>
    <xf numFmtId="41" fontId="0" fillId="0" borderId="3" xfId="1" applyFont="1" applyFill="1" applyBorder="1"/>
    <xf numFmtId="41" fontId="0" fillId="0" borderId="3" xfId="1" applyFont="1" applyFill="1" applyBorder="1" applyAlignment="1">
      <alignment wrapText="1"/>
    </xf>
    <xf numFmtId="14" fontId="0" fillId="0" borderId="3" xfId="0" applyNumberFormat="1" applyBorder="1" applyAlignment="1">
      <alignment wrapText="1"/>
    </xf>
    <xf numFmtId="16" fontId="0" fillId="0" borderId="3" xfId="0" applyNumberFormat="1" applyBorder="1"/>
    <xf numFmtId="14" fontId="26" fillId="0" borderId="3" xfId="0" applyNumberFormat="1" applyFont="1" applyBorder="1"/>
    <xf numFmtId="14" fontId="25" fillId="0" borderId="3" xfId="0" applyNumberFormat="1" applyFont="1" applyBorder="1"/>
    <xf numFmtId="0" fontId="25" fillId="0" borderId="3" xfId="0" applyFont="1" applyBorder="1"/>
    <xf numFmtId="0" fontId="25" fillId="0" borderId="3" xfId="0" applyFont="1" applyBorder="1" applyAlignment="1">
      <alignment wrapText="1"/>
    </xf>
    <xf numFmtId="41" fontId="25" fillId="0" borderId="3" xfId="1" applyFont="1" applyFill="1" applyBorder="1"/>
    <xf numFmtId="41" fontId="25" fillId="0" borderId="0" xfId="1" applyFont="1" applyFill="1"/>
    <xf numFmtId="0" fontId="2" fillId="0" borderId="3" xfId="0" applyFont="1" applyBorder="1"/>
    <xf numFmtId="41" fontId="2" fillId="0" borderId="3" xfId="1" applyFont="1" applyFill="1" applyBorder="1"/>
    <xf numFmtId="41" fontId="2" fillId="0" borderId="0" xfId="1" applyFont="1" applyFill="1"/>
    <xf numFmtId="0" fontId="27" fillId="0" borderId="0" xfId="0" applyFont="1"/>
    <xf numFmtId="0" fontId="28" fillId="0" borderId="0" xfId="0" applyFont="1"/>
    <xf numFmtId="41" fontId="27" fillId="0" borderId="0" xfId="1" applyFont="1"/>
    <xf numFmtId="0" fontId="28" fillId="0" borderId="3" xfId="0" applyFont="1" applyBorder="1"/>
    <xf numFmtId="0" fontId="28" fillId="0" borderId="3" xfId="0" applyFont="1" applyBorder="1" applyAlignment="1">
      <alignment wrapText="1"/>
    </xf>
    <xf numFmtId="41" fontId="28" fillId="0" borderId="3" xfId="1" applyFont="1" applyBorder="1"/>
    <xf numFmtId="41" fontId="28" fillId="0" borderId="3" xfId="1" applyFont="1" applyBorder="1" applyAlignment="1">
      <alignment wrapText="1"/>
    </xf>
    <xf numFmtId="41" fontId="2" fillId="0" borderId="3" xfId="1" applyFont="1" applyBorder="1"/>
    <xf numFmtId="0" fontId="9" fillId="5" borderId="0" xfId="0" applyFont="1" applyFill="1"/>
    <xf numFmtId="0" fontId="9" fillId="6" borderId="0" xfId="0" applyFont="1" applyFill="1"/>
    <xf numFmtId="41" fontId="9" fillId="0" borderId="0" xfId="1" applyFont="1" applyFill="1"/>
    <xf numFmtId="41" fontId="9" fillId="7" borderId="0" xfId="1" applyFont="1" applyFill="1"/>
    <xf numFmtId="41" fontId="9" fillId="0" borderId="3" xfId="1" applyFont="1" applyFill="1" applyBorder="1"/>
    <xf numFmtId="41" fontId="9" fillId="5" borderId="3" xfId="1" applyFont="1" applyFill="1" applyBorder="1"/>
    <xf numFmtId="41" fontId="9" fillId="0" borderId="4" xfId="1" applyFont="1" applyFill="1" applyBorder="1"/>
    <xf numFmtId="41" fontId="9" fillId="6" borderId="3" xfId="1" applyFont="1" applyFill="1" applyBorder="1"/>
    <xf numFmtId="41" fontId="9" fillId="7" borderId="3" xfId="1" applyFont="1" applyFill="1" applyBorder="1"/>
    <xf numFmtId="0" fontId="9" fillId="8" borderId="0" xfId="0" applyFont="1" applyFill="1"/>
    <xf numFmtId="0" fontId="9" fillId="9" borderId="0" xfId="0" applyFont="1" applyFill="1"/>
    <xf numFmtId="0" fontId="12" fillId="0" borderId="0" xfId="0" applyFont="1"/>
    <xf numFmtId="0" fontId="9" fillId="0" borderId="0" xfId="0" applyFont="1" applyAlignment="1">
      <alignment wrapText="1"/>
    </xf>
    <xf numFmtId="41" fontId="9" fillId="5" borderId="0" xfId="1" applyFont="1" applyFill="1"/>
    <xf numFmtId="41" fontId="9" fillId="6" borderId="0" xfId="1" applyFont="1" applyFill="1"/>
    <xf numFmtId="41" fontId="11" fillId="5" borderId="3" xfId="1" applyFont="1" applyFill="1" applyBorder="1" applyAlignment="1">
      <alignment wrapText="1"/>
    </xf>
    <xf numFmtId="41" fontId="11" fillId="6" borderId="3" xfId="1" applyFont="1" applyFill="1" applyBorder="1" applyAlignment="1">
      <alignment wrapText="1"/>
    </xf>
    <xf numFmtId="41" fontId="11" fillId="7" borderId="3" xfId="1" applyFont="1" applyFill="1" applyBorder="1" applyAlignment="1">
      <alignment wrapText="1"/>
    </xf>
    <xf numFmtId="41" fontId="11" fillId="0" borderId="0" xfId="1" applyFont="1" applyFill="1" applyAlignment="1">
      <alignment wrapText="1"/>
    </xf>
    <xf numFmtId="41" fontId="12" fillId="7" borderId="3" xfId="1" applyFont="1" applyFill="1" applyBorder="1"/>
    <xf numFmtId="41" fontId="12" fillId="3" borderId="5" xfId="1" applyFont="1" applyFill="1" applyBorder="1"/>
    <xf numFmtId="41" fontId="12" fillId="3" borderId="3" xfId="0" applyNumberFormat="1" applyFont="1" applyFill="1" applyBorder="1"/>
    <xf numFmtId="14" fontId="9" fillId="8" borderId="3" xfId="0" applyNumberFormat="1" applyFont="1" applyFill="1" applyBorder="1"/>
    <xf numFmtId="0" fontId="9" fillId="8" borderId="3" xfId="0" applyFont="1" applyFill="1" applyBorder="1" applyAlignment="1">
      <alignment wrapText="1"/>
    </xf>
    <xf numFmtId="0" fontId="9" fillId="8" borderId="3" xfId="0" applyFont="1" applyFill="1" applyBorder="1"/>
    <xf numFmtId="41" fontId="9" fillId="8" borderId="3" xfId="1" applyFont="1" applyFill="1" applyBorder="1"/>
    <xf numFmtId="41" fontId="12" fillId="8" borderId="3" xfId="1" applyFont="1" applyFill="1" applyBorder="1"/>
    <xf numFmtId="41" fontId="9" fillId="8" borderId="0" xfId="1" applyFont="1" applyFill="1"/>
    <xf numFmtId="41" fontId="9" fillId="3" borderId="0" xfId="1" applyFont="1" applyFill="1"/>
    <xf numFmtId="14" fontId="9" fillId="9" borderId="3" xfId="0" applyNumberFormat="1" applyFont="1" applyFill="1" applyBorder="1"/>
    <xf numFmtId="0" fontId="9" fillId="9" borderId="3" xfId="0" applyFont="1" applyFill="1" applyBorder="1" applyAlignment="1">
      <alignment wrapText="1"/>
    </xf>
    <xf numFmtId="0" fontId="9" fillId="9" borderId="3" xfId="0" applyFont="1" applyFill="1" applyBorder="1"/>
    <xf numFmtId="41" fontId="9" fillId="9" borderId="3" xfId="1" applyFont="1" applyFill="1" applyBorder="1"/>
    <xf numFmtId="41" fontId="29" fillId="9" borderId="3" xfId="1" applyFont="1" applyFill="1" applyBorder="1"/>
    <xf numFmtId="41" fontId="9" fillId="9" borderId="0" xfId="1" applyFont="1" applyFill="1"/>
    <xf numFmtId="41" fontId="9" fillId="3" borderId="0" xfId="1" applyFont="1" applyFill="1" applyBorder="1"/>
    <xf numFmtId="0" fontId="12" fillId="0" borderId="3" xfId="0" applyFont="1" applyBorder="1"/>
    <xf numFmtId="41" fontId="12" fillId="0" borderId="3" xfId="1" applyFont="1" applyFill="1" applyBorder="1"/>
    <xf numFmtId="41" fontId="12" fillId="0" borderId="0" xfId="1" applyFont="1" applyFill="1"/>
    <xf numFmtId="0" fontId="30" fillId="3" borderId="0" xfId="0" applyFont="1" applyFill="1"/>
    <xf numFmtId="0" fontId="12" fillId="10" borderId="0" xfId="0" applyFont="1" applyFill="1"/>
    <xf numFmtId="0" fontId="29" fillId="0" borderId="0" xfId="0" applyFont="1"/>
    <xf numFmtId="41" fontId="12" fillId="11" borderId="0" xfId="1" applyFont="1" applyFill="1"/>
    <xf numFmtId="41" fontId="16" fillId="0" borderId="0" xfId="1" applyFont="1" applyFill="1"/>
    <xf numFmtId="41" fontId="16" fillId="11" borderId="0" xfId="1" applyFont="1" applyFill="1"/>
    <xf numFmtId="0" fontId="11" fillId="11" borderId="3" xfId="0" applyFont="1" applyFill="1" applyBorder="1" applyAlignment="1">
      <alignment wrapText="1"/>
    </xf>
    <xf numFmtId="41" fontId="11" fillId="0" borderId="5" xfId="1" applyFont="1" applyFill="1" applyBorder="1" applyAlignment="1">
      <alignment wrapText="1"/>
    </xf>
    <xf numFmtId="14" fontId="30" fillId="3" borderId="3" xfId="0" applyNumberFormat="1" applyFont="1" applyFill="1" applyBorder="1"/>
    <xf numFmtId="0" fontId="30" fillId="3" borderId="3" xfId="0" applyFont="1" applyFill="1" applyBorder="1"/>
    <xf numFmtId="41" fontId="30" fillId="3" borderId="3" xfId="1" applyFont="1" applyFill="1" applyBorder="1"/>
    <xf numFmtId="41" fontId="30" fillId="3" borderId="5" xfId="1" applyFont="1" applyFill="1" applyBorder="1"/>
    <xf numFmtId="41" fontId="30" fillId="3" borderId="0" xfId="1" applyFont="1" applyFill="1"/>
    <xf numFmtId="14" fontId="12" fillId="0" borderId="3" xfId="0" applyNumberFormat="1" applyFont="1" applyBorder="1"/>
    <xf numFmtId="41" fontId="12" fillId="11" borderId="3" xfId="1" applyFont="1" applyFill="1" applyBorder="1"/>
    <xf numFmtId="41" fontId="12" fillId="0" borderId="5" xfId="1" applyFont="1" applyFill="1" applyBorder="1"/>
    <xf numFmtId="14" fontId="12" fillId="10" borderId="3" xfId="0" applyNumberFormat="1" applyFont="1" applyFill="1" applyBorder="1"/>
    <xf numFmtId="0" fontId="12" fillId="10" borderId="3" xfId="0" applyFont="1" applyFill="1" applyBorder="1"/>
    <xf numFmtId="41" fontId="12" fillId="10" borderId="3" xfId="1" applyFont="1" applyFill="1" applyBorder="1"/>
    <xf numFmtId="41" fontId="12" fillId="10" borderId="5" xfId="1" applyFont="1" applyFill="1" applyBorder="1"/>
    <xf numFmtId="41" fontId="12" fillId="10" borderId="0" xfId="1" applyFont="1" applyFill="1"/>
    <xf numFmtId="0" fontId="29" fillId="0" borderId="3" xfId="0" applyFont="1" applyBorder="1"/>
    <xf numFmtId="41" fontId="29" fillId="0" borderId="3" xfId="1" applyFont="1" applyFill="1" applyBorder="1"/>
    <xf numFmtId="41" fontId="29" fillId="0" borderId="0" xfId="1" applyFont="1" applyFill="1"/>
    <xf numFmtId="41" fontId="12" fillId="0" borderId="4" xfId="1" applyFont="1" applyFill="1" applyBorder="1"/>
    <xf numFmtId="0" fontId="12" fillId="6" borderId="0" xfId="0" applyFont="1" applyFill="1"/>
    <xf numFmtId="0" fontId="31" fillId="0" borderId="0" xfId="0" applyFont="1"/>
    <xf numFmtId="17" fontId="12" fillId="0" borderId="0" xfId="0" applyNumberFormat="1" applyFont="1"/>
    <xf numFmtId="14" fontId="12" fillId="6" borderId="3" xfId="0" applyNumberFormat="1" applyFont="1" applyFill="1" applyBorder="1"/>
    <xf numFmtId="0" fontId="12" fillId="6" borderId="3" xfId="0" applyFont="1" applyFill="1" applyBorder="1"/>
    <xf numFmtId="41" fontId="12" fillId="6" borderId="3" xfId="1" applyFont="1" applyFill="1" applyBorder="1"/>
    <xf numFmtId="0" fontId="31" fillId="0" borderId="3" xfId="0" applyFont="1" applyBorder="1"/>
    <xf numFmtId="0" fontId="11" fillId="0" borderId="3" xfId="0" applyFont="1" applyBorder="1"/>
    <xf numFmtId="41" fontId="31" fillId="0" borderId="3" xfId="1" applyFont="1" applyFill="1" applyBorder="1"/>
    <xf numFmtId="41" fontId="31" fillId="3" borderId="3" xfId="1" applyFont="1" applyFill="1" applyBorder="1"/>
    <xf numFmtId="0" fontId="11" fillId="0" borderId="0" xfId="0" applyFont="1"/>
    <xf numFmtId="0" fontId="12" fillId="9" borderId="0" xfId="0" applyFont="1" applyFill="1"/>
    <xf numFmtId="0" fontId="30" fillId="4" borderId="0" xfId="0" applyFont="1" applyFill="1"/>
    <xf numFmtId="41" fontId="11" fillId="0" borderId="0" xfId="1" applyFont="1" applyFill="1"/>
    <xf numFmtId="41" fontId="11" fillId="0" borderId="4" xfId="1" applyFont="1" applyFill="1" applyBorder="1" applyAlignment="1">
      <alignment wrapText="1"/>
    </xf>
    <xf numFmtId="41" fontId="12" fillId="3" borderId="0" xfId="1" applyFont="1" applyFill="1" applyBorder="1" applyAlignment="1">
      <alignment wrapText="1"/>
    </xf>
    <xf numFmtId="41" fontId="12" fillId="6" borderId="3" xfId="1" applyFont="1" applyFill="1" applyBorder="1" applyAlignment="1">
      <alignment wrapText="1"/>
    </xf>
    <xf numFmtId="41" fontId="12" fillId="6" borderId="0" xfId="1" applyFont="1" applyFill="1"/>
    <xf numFmtId="14" fontId="12" fillId="9" borderId="3" xfId="0" applyNumberFormat="1" applyFont="1" applyFill="1" applyBorder="1"/>
    <xf numFmtId="0" fontId="12" fillId="9" borderId="3" xfId="0" applyFont="1" applyFill="1" applyBorder="1"/>
    <xf numFmtId="41" fontId="12" fillId="9" borderId="3" xfId="1" applyFont="1" applyFill="1" applyBorder="1"/>
    <xf numFmtId="41" fontId="12" fillId="9" borderId="0" xfId="1" applyFont="1" applyFill="1"/>
    <xf numFmtId="0" fontId="12" fillId="6" borderId="3" xfId="0" applyFont="1" applyFill="1" applyBorder="1" applyAlignment="1">
      <alignment wrapText="1"/>
    </xf>
    <xf numFmtId="14" fontId="30" fillId="4" borderId="3" xfId="0" applyNumberFormat="1" applyFont="1" applyFill="1" applyBorder="1"/>
    <xf numFmtId="0" fontId="30" fillId="4" borderId="3" xfId="0" applyFont="1" applyFill="1" applyBorder="1" applyAlignment="1">
      <alignment wrapText="1"/>
    </xf>
    <xf numFmtId="0" fontId="30" fillId="4" borderId="3" xfId="0" applyFont="1" applyFill="1" applyBorder="1"/>
    <xf numFmtId="41" fontId="30" fillId="4" borderId="3" xfId="1" applyFont="1" applyFill="1" applyBorder="1"/>
    <xf numFmtId="41" fontId="30" fillId="4" borderId="0" xfId="1" applyFont="1" applyFill="1"/>
    <xf numFmtId="0" fontId="0" fillId="12" borderId="0" xfId="0" applyFill="1"/>
    <xf numFmtId="0" fontId="0" fillId="13" borderId="0" xfId="0" applyFill="1"/>
    <xf numFmtId="0" fontId="0" fillId="4" borderId="0" xfId="0" applyFill="1"/>
    <xf numFmtId="0" fontId="0" fillId="14" borderId="0" xfId="0" applyFill="1"/>
    <xf numFmtId="0" fontId="0" fillId="15" borderId="0" xfId="0" applyFill="1"/>
    <xf numFmtId="0" fontId="24" fillId="0" borderId="0" xfId="0" applyFont="1"/>
    <xf numFmtId="0" fontId="0" fillId="0" borderId="0" xfId="0" applyAlignment="1">
      <alignment horizontal="right"/>
    </xf>
    <xf numFmtId="41" fontId="28" fillId="0" borderId="0" xfId="1" applyFont="1" applyFill="1"/>
    <xf numFmtId="0" fontId="24" fillId="0" borderId="3" xfId="0" applyFont="1" applyBorder="1"/>
    <xf numFmtId="0" fontId="2" fillId="0" borderId="3" xfId="0" applyFont="1" applyBorder="1" applyAlignment="1">
      <alignment horizontal="right"/>
    </xf>
    <xf numFmtId="9" fontId="2" fillId="0" borderId="3" xfId="1" applyNumberFormat="1" applyFont="1" applyFill="1" applyBorder="1"/>
    <xf numFmtId="14" fontId="25" fillId="12" borderId="3" xfId="0" applyNumberFormat="1" applyFont="1" applyFill="1" applyBorder="1"/>
    <xf numFmtId="0" fontId="0" fillId="12" borderId="3" xfId="0" applyFill="1" applyBorder="1" applyAlignment="1">
      <alignment wrapText="1"/>
    </xf>
    <xf numFmtId="0" fontId="0" fillId="12" borderId="3" xfId="0" applyFill="1" applyBorder="1" applyAlignment="1">
      <alignment horizontal="right"/>
    </xf>
    <xf numFmtId="0" fontId="0" fillId="12" borderId="3" xfId="0" applyFill="1" applyBorder="1"/>
    <xf numFmtId="41" fontId="0" fillId="12" borderId="3" xfId="1" applyFont="1" applyFill="1" applyBorder="1"/>
    <xf numFmtId="41" fontId="0" fillId="12" borderId="3" xfId="1" applyFont="1" applyFill="1" applyBorder="1" applyAlignment="1">
      <alignment wrapText="1"/>
    </xf>
    <xf numFmtId="41" fontId="0" fillId="12" borderId="3" xfId="0" applyNumberFormat="1" applyFill="1" applyBorder="1"/>
    <xf numFmtId="41" fontId="25" fillId="12" borderId="3" xfId="1" applyFont="1" applyFill="1" applyBorder="1"/>
    <xf numFmtId="41" fontId="0" fillId="12" borderId="0" xfId="1" applyFont="1" applyFill="1"/>
    <xf numFmtId="14" fontId="25" fillId="13" borderId="3" xfId="0" applyNumberFormat="1" applyFont="1" applyFill="1" applyBorder="1"/>
    <xf numFmtId="0" fontId="0" fillId="13" borderId="3" xfId="0" applyFill="1" applyBorder="1"/>
    <xf numFmtId="0" fontId="0" fillId="13" borderId="3" xfId="0" applyFill="1" applyBorder="1" applyAlignment="1">
      <alignment horizontal="right"/>
    </xf>
    <xf numFmtId="41" fontId="0" fillId="13" borderId="3" xfId="1" applyFont="1" applyFill="1" applyBorder="1"/>
    <xf numFmtId="41" fontId="25" fillId="13" borderId="3" xfId="1" applyFont="1" applyFill="1" applyBorder="1"/>
    <xf numFmtId="16" fontId="25" fillId="12" borderId="3" xfId="0" applyNumberFormat="1" applyFont="1" applyFill="1" applyBorder="1"/>
    <xf numFmtId="41" fontId="0" fillId="12" borderId="0" xfId="0" applyNumberFormat="1" applyFill="1"/>
    <xf numFmtId="16" fontId="0" fillId="12" borderId="3" xfId="0" applyNumberFormat="1" applyFill="1" applyBorder="1"/>
    <xf numFmtId="0" fontId="0" fillId="0" borderId="3" xfId="0" applyBorder="1" applyAlignment="1">
      <alignment horizontal="right"/>
    </xf>
    <xf numFmtId="14" fontId="25" fillId="4" borderId="3" xfId="0" applyNumberFormat="1" applyFont="1" applyFill="1" applyBorder="1"/>
    <xf numFmtId="0" fontId="0" fillId="4" borderId="3" xfId="0" applyFill="1" applyBorder="1" applyAlignment="1">
      <alignment wrapText="1"/>
    </xf>
    <xf numFmtId="0" fontId="0" fillId="4" borderId="3" xfId="0" applyFill="1" applyBorder="1" applyAlignment="1">
      <alignment horizontal="right"/>
    </xf>
    <xf numFmtId="0" fontId="0" fillId="4" borderId="3" xfId="0" applyFill="1" applyBorder="1"/>
    <xf numFmtId="41" fontId="0" fillId="4" borderId="3" xfId="1" applyFont="1" applyFill="1" applyBorder="1"/>
    <xf numFmtId="14" fontId="25" fillId="14" borderId="3" xfId="0" applyNumberFormat="1" applyFont="1" applyFill="1" applyBorder="1"/>
    <xf numFmtId="0" fontId="0" fillId="14" borderId="3" xfId="0" applyFill="1" applyBorder="1"/>
    <xf numFmtId="0" fontId="0" fillId="14" borderId="3" xfId="0" applyFill="1" applyBorder="1" applyAlignment="1">
      <alignment horizontal="right"/>
    </xf>
    <xf numFmtId="41" fontId="0" fillId="14" borderId="3" xfId="1" applyFont="1" applyFill="1" applyBorder="1"/>
    <xf numFmtId="14" fontId="25" fillId="15" borderId="3" xfId="0" applyNumberFormat="1" applyFont="1" applyFill="1" applyBorder="1"/>
    <xf numFmtId="0" fontId="0" fillId="15" borderId="3" xfId="0" applyFill="1" applyBorder="1"/>
    <xf numFmtId="0" fontId="0" fillId="15" borderId="3" xfId="0" applyFill="1" applyBorder="1" applyAlignment="1">
      <alignment horizontal="right"/>
    </xf>
    <xf numFmtId="41" fontId="0" fillId="15" borderId="3" xfId="1" applyFont="1" applyFill="1" applyBorder="1"/>
    <xf numFmtId="16" fontId="25" fillId="0" borderId="3" xfId="0" applyNumberFormat="1" applyFont="1" applyBorder="1"/>
    <xf numFmtId="16" fontId="25" fillId="15" borderId="3" xfId="0" applyNumberFormat="1" applyFont="1" applyFill="1" applyBorder="1"/>
    <xf numFmtId="16" fontId="25" fillId="4" borderId="3" xfId="0" applyNumberFormat="1" applyFont="1" applyFill="1" applyBorder="1"/>
    <xf numFmtId="0" fontId="0" fillId="15" borderId="3" xfId="0" applyFill="1" applyBorder="1" applyAlignment="1">
      <alignment wrapText="1"/>
    </xf>
    <xf numFmtId="16" fontId="25" fillId="14" borderId="3" xfId="0" applyNumberFormat="1" applyFont="1" applyFill="1" applyBorder="1"/>
    <xf numFmtId="0" fontId="0" fillId="14" borderId="3" xfId="0" applyFill="1" applyBorder="1" applyAlignment="1">
      <alignment wrapText="1"/>
    </xf>
    <xf numFmtId="41" fontId="0" fillId="4" borderId="0" xfId="1" applyFont="1" applyFill="1"/>
    <xf numFmtId="0" fontId="24" fillId="0" borderId="3" xfId="0" applyFont="1" applyBorder="1" applyAlignment="1">
      <alignment horizontal="right"/>
    </xf>
    <xf numFmtId="41" fontId="24" fillId="0" borderId="3" xfId="1" applyFont="1" applyFill="1" applyBorder="1"/>
    <xf numFmtId="0" fontId="28" fillId="0" borderId="3" xfId="0" applyFont="1" applyBorder="1" applyAlignment="1">
      <alignment horizontal="right"/>
    </xf>
    <xf numFmtId="41" fontId="28" fillId="0" borderId="3" xfId="1" applyFont="1" applyFill="1" applyBorder="1"/>
    <xf numFmtId="41" fontId="0" fillId="0" borderId="3" xfId="0" applyNumberFormat="1" applyBorder="1"/>
    <xf numFmtId="0" fontId="32" fillId="0" borderId="0" xfId="0" applyFont="1"/>
    <xf numFmtId="0" fontId="25" fillId="3" borderId="0" xfId="0" applyFont="1" applyFill="1"/>
    <xf numFmtId="0" fontId="0" fillId="3" borderId="0" xfId="0" applyFill="1"/>
    <xf numFmtId="41" fontId="32" fillId="0" borderId="0" xfId="1" applyFont="1" applyFill="1"/>
    <xf numFmtId="41" fontId="24" fillId="0" borderId="0" xfId="1" applyFont="1" applyFill="1"/>
    <xf numFmtId="14" fontId="25" fillId="3" borderId="3" xfId="0" applyNumberFormat="1" applyFont="1" applyFill="1" applyBorder="1"/>
    <xf numFmtId="0" fontId="25" fillId="3" borderId="3" xfId="0" applyFont="1" applyFill="1" applyBorder="1" applyAlignment="1">
      <alignment wrapText="1"/>
    </xf>
    <xf numFmtId="0" fontId="25" fillId="3" borderId="3" xfId="0" applyFont="1" applyFill="1" applyBorder="1"/>
    <xf numFmtId="41" fontId="25" fillId="3" borderId="3" xfId="1" applyFont="1" applyFill="1" applyBorder="1"/>
    <xf numFmtId="41" fontId="25" fillId="3" borderId="3" xfId="1" applyFont="1" applyFill="1" applyBorder="1" applyAlignment="1">
      <alignment wrapText="1"/>
    </xf>
    <xf numFmtId="41" fontId="25" fillId="3" borderId="0" xfId="1" applyFont="1" applyFill="1"/>
    <xf numFmtId="14" fontId="0" fillId="3" borderId="3" xfId="0" applyNumberFormat="1" applyFill="1" applyBorder="1"/>
    <xf numFmtId="0" fontId="0" fillId="3" borderId="3" xfId="0" applyFill="1" applyBorder="1" applyAlignment="1">
      <alignment wrapText="1"/>
    </xf>
    <xf numFmtId="0" fontId="0" fillId="3" borderId="3" xfId="0" applyFill="1" applyBorder="1"/>
    <xf numFmtId="41" fontId="0" fillId="3" borderId="3" xfId="1" applyFont="1" applyFill="1" applyBorder="1"/>
    <xf numFmtId="41" fontId="0" fillId="3" borderId="0" xfId="1" applyFont="1" applyFill="1"/>
    <xf numFmtId="16" fontId="0" fillId="3" borderId="3" xfId="0" applyNumberFormat="1" applyFill="1" applyBorder="1"/>
    <xf numFmtId="14" fontId="0" fillId="15" borderId="3" xfId="0" applyNumberFormat="1" applyFill="1" applyBorder="1"/>
    <xf numFmtId="41" fontId="25" fillId="15" borderId="3" xfId="1" applyFont="1" applyFill="1" applyBorder="1"/>
    <xf numFmtId="41" fontId="0" fillId="15" borderId="0" xfId="1" applyFont="1" applyFill="1"/>
    <xf numFmtId="0" fontId="33" fillId="0" borderId="0" xfId="0" applyFont="1"/>
    <xf numFmtId="41" fontId="33" fillId="0" borderId="0" xfId="1" applyFont="1"/>
    <xf numFmtId="41" fontId="2" fillId="0" borderId="0" xfId="1" applyFont="1"/>
    <xf numFmtId="0" fontId="28" fillId="0" borderId="6" xfId="0" applyFont="1" applyBorder="1" applyAlignment="1">
      <alignment wrapText="1"/>
    </xf>
    <xf numFmtId="41" fontId="0" fillId="3" borderId="3" xfId="1" applyFont="1" applyFill="1" applyBorder="1" applyAlignment="1">
      <alignment wrapText="1"/>
    </xf>
    <xf numFmtId="0" fontId="0" fillId="0" borderId="7" xfId="0" applyBorder="1"/>
    <xf numFmtId="0" fontId="0" fillId="0" borderId="7" xfId="0" applyBorder="1" applyAlignment="1">
      <alignment wrapText="1"/>
    </xf>
    <xf numFmtId="41" fontId="0" fillId="0" borderId="7" xfId="1" applyFont="1" applyFill="1" applyBorder="1"/>
    <xf numFmtId="0" fontId="0" fillId="3" borderId="3" xfId="0" quotePrefix="1" applyFill="1" applyBorder="1"/>
    <xf numFmtId="0" fontId="0" fillId="3" borderId="0" xfId="0" quotePrefix="1" applyFill="1"/>
    <xf numFmtId="0" fontId="2" fillId="0" borderId="0" xfId="0" applyFont="1" applyAlignment="1">
      <alignment wrapText="1"/>
    </xf>
    <xf numFmtId="0" fontId="0" fillId="0" borderId="0" xfId="0"/>
    <xf numFmtId="0" fontId="28" fillId="0" borderId="0" xfId="0" applyFont="1" applyAlignment="1">
      <alignment wrapText="1"/>
    </xf>
    <xf numFmtId="0" fontId="28" fillId="0" borderId="0" xfId="0" applyFont="1"/>
    <xf numFmtId="0" fontId="11" fillId="0" borderId="0" xfId="0" applyFont="1" applyAlignment="1">
      <alignment wrapText="1"/>
    </xf>
    <xf numFmtId="0" fontId="11" fillId="0" borderId="0" xfId="0" applyFont="1"/>
    <xf numFmtId="0" fontId="10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6" fillId="0" borderId="0" xfId="0" applyFont="1"/>
    <xf numFmtId="0" fontId="14" fillId="0" borderId="0" xfId="0" applyFont="1" applyAlignment="1">
      <alignment wrapText="1"/>
    </xf>
    <xf numFmtId="0" fontId="9" fillId="0" borderId="0" xfId="0" applyFont="1"/>
    <xf numFmtId="0" fontId="27" fillId="0" borderId="0" xfId="0" applyFont="1" applyAlignment="1">
      <alignment wrapText="1"/>
    </xf>
    <xf numFmtId="0" fontId="27" fillId="0" borderId="0" xfId="0" applyFont="1"/>
    <xf numFmtId="0" fontId="23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8" fillId="0" borderId="0" xfId="0" applyFont="1"/>
    <xf numFmtId="0" fontId="13" fillId="0" borderId="0" xfId="0" applyFont="1"/>
    <xf numFmtId="0" fontId="15" fillId="0" borderId="0" xfId="0" applyFont="1"/>
    <xf numFmtId="0" fontId="8" fillId="0" borderId="0" xfId="0" applyFont="1" applyAlignment="1">
      <alignment wrapText="1"/>
    </xf>
    <xf numFmtId="0" fontId="8" fillId="0" borderId="0" xfId="0" applyFont="1"/>
    <xf numFmtId="0" fontId="7" fillId="0" borderId="0" xfId="0" applyFont="1"/>
    <xf numFmtId="0" fontId="33" fillId="0" borderId="6" xfId="0" applyFont="1" applyBorder="1" applyAlignment="1"/>
    <xf numFmtId="0" fontId="0" fillId="0" borderId="6" xfId="0" applyBorder="1" applyAlignme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"/>
  <sheetViews>
    <sheetView tabSelected="1" workbookViewId="0">
      <pane ySplit="2" topLeftCell="A3" activePane="bottomLeft" state="frozen"/>
      <selection pane="bottomLeft" activeCell="C6" sqref="C6"/>
    </sheetView>
  </sheetViews>
  <sheetFormatPr defaultColWidth="9" defaultRowHeight="15"/>
  <cols>
    <col min="1" max="1" width="11.28515625" customWidth="1"/>
    <col min="2" max="2" width="23.85546875" style="20" customWidth="1"/>
    <col min="3" max="3" width="6.85546875" customWidth="1"/>
    <col min="5" max="5" width="12.140625" style="126" customWidth="1"/>
    <col min="6" max="6" width="11.5703125" style="126" customWidth="1"/>
    <col min="7" max="7" width="10.42578125" style="126" customWidth="1"/>
    <col min="8" max="8" width="11.140625" style="126" customWidth="1"/>
    <col min="9" max="9" width="12" style="126" customWidth="1"/>
    <col min="10" max="10" width="11.42578125" style="126" customWidth="1"/>
    <col min="11" max="11" width="10.42578125" style="126" customWidth="1"/>
    <col min="12" max="12" width="10" style="126" customWidth="1"/>
    <col min="13" max="13" width="11" style="126" customWidth="1"/>
    <col min="14" max="14" width="8.7109375" style="126"/>
    <col min="15" max="16" width="11.5703125" style="126" customWidth="1"/>
    <col min="17" max="17" width="8.85546875" style="126" customWidth="1"/>
    <col min="18" max="18" width="10" style="126" customWidth="1"/>
    <col min="19" max="19" width="13.42578125" style="126" customWidth="1"/>
    <col min="20" max="23" width="8.7109375" style="126"/>
  </cols>
  <sheetData>
    <row r="1" spans="1:23" ht="15.75" customHeight="1">
      <c r="B1" s="321" t="s">
        <v>0</v>
      </c>
      <c r="C1" s="349"/>
      <c r="D1" s="349"/>
      <c r="E1" s="350"/>
      <c r="F1" s="350"/>
    </row>
    <row r="2" spans="1:23" s="1" customFormat="1" ht="53.1" customHeight="1">
      <c r="A2" s="141" t="s">
        <v>1</v>
      </c>
      <c r="B2" s="119" t="s">
        <v>2</v>
      </c>
      <c r="C2" s="141" t="s">
        <v>3</v>
      </c>
      <c r="D2" s="141" t="s">
        <v>4</v>
      </c>
      <c r="E2" s="142" t="s">
        <v>5</v>
      </c>
      <c r="F2" s="142" t="s">
        <v>6</v>
      </c>
      <c r="G2" s="120" t="s">
        <v>7</v>
      </c>
      <c r="H2" s="120" t="s">
        <v>8</v>
      </c>
      <c r="I2" s="142" t="s">
        <v>9</v>
      </c>
      <c r="J2" s="142" t="s">
        <v>10</v>
      </c>
      <c r="K2" s="120" t="s">
        <v>11</v>
      </c>
      <c r="L2" s="120" t="s">
        <v>12</v>
      </c>
      <c r="M2" s="128" t="s">
        <v>13</v>
      </c>
      <c r="N2" s="142" t="s">
        <v>14</v>
      </c>
      <c r="O2" s="120" t="s">
        <v>15</v>
      </c>
      <c r="P2" s="120" t="s">
        <v>16</v>
      </c>
      <c r="Q2" s="120" t="s">
        <v>17</v>
      </c>
      <c r="R2" s="142" t="s">
        <v>18</v>
      </c>
      <c r="S2" s="142" t="s">
        <v>5</v>
      </c>
      <c r="T2" s="142"/>
      <c r="U2" s="142"/>
      <c r="V2" s="143"/>
      <c r="W2" s="143"/>
    </row>
    <row r="3" spans="1:23" s="300" customFormat="1" ht="36.6" customHeight="1">
      <c r="A3" s="309">
        <v>46029</v>
      </c>
      <c r="B3" s="304" t="s">
        <v>19</v>
      </c>
      <c r="C3" s="311">
        <v>7380</v>
      </c>
      <c r="D3" s="311"/>
      <c r="E3" s="312">
        <v>23688000</v>
      </c>
      <c r="F3" s="312"/>
      <c r="G3" s="322"/>
      <c r="H3" s="322"/>
      <c r="I3" s="312"/>
      <c r="J3" s="312"/>
      <c r="K3" s="322"/>
      <c r="L3" s="322"/>
      <c r="M3" s="307"/>
      <c r="N3" s="312"/>
      <c r="O3" s="322"/>
      <c r="P3" s="322">
        <v>25200000</v>
      </c>
      <c r="Q3" s="312"/>
      <c r="R3" s="312"/>
      <c r="S3" s="312">
        <f>F3+G3+H3+I3+J3+K3+L3+M3+N3+O3+P3+Q3+R3</f>
        <v>25200000</v>
      </c>
      <c r="T3" s="312"/>
      <c r="U3" s="312"/>
      <c r="V3" s="313"/>
      <c r="W3" s="313"/>
    </row>
    <row r="4" spans="1:23" s="300" customFormat="1" ht="24.6" customHeight="1">
      <c r="A4" s="309">
        <v>46045</v>
      </c>
      <c r="B4" s="304" t="s">
        <v>20</v>
      </c>
      <c r="C4" s="326" t="s">
        <v>21</v>
      </c>
      <c r="D4" s="311">
        <v>11427</v>
      </c>
      <c r="E4" s="312">
        <v>5614620</v>
      </c>
      <c r="F4" s="312">
        <v>5973000</v>
      </c>
      <c r="G4" s="312"/>
      <c r="H4" s="312"/>
      <c r="I4" s="312"/>
      <c r="J4" s="312"/>
      <c r="K4" s="312"/>
      <c r="L4" s="312"/>
      <c r="M4" s="312"/>
      <c r="N4" s="312"/>
      <c r="O4" s="312"/>
      <c r="P4" s="312"/>
      <c r="Q4" s="312"/>
      <c r="R4" s="312"/>
      <c r="S4" s="312">
        <f>F4+G4+H4+I4+J4+K4+L4+M4+N4+O4+P4+Q4+R4</f>
        <v>5973000</v>
      </c>
      <c r="T4" s="312"/>
      <c r="U4" s="312"/>
      <c r="V4" s="313"/>
      <c r="W4" s="313"/>
    </row>
    <row r="5" spans="1:23" s="300" customFormat="1" ht="32.450000000000003" customHeight="1">
      <c r="A5" s="309">
        <v>46051</v>
      </c>
      <c r="B5" s="304" t="s">
        <v>22</v>
      </c>
      <c r="C5" s="326" t="s">
        <v>23</v>
      </c>
      <c r="D5" s="311">
        <v>11067</v>
      </c>
      <c r="E5" s="312">
        <v>45872000</v>
      </c>
      <c r="F5" s="312"/>
      <c r="G5" s="312"/>
      <c r="H5" s="312">
        <v>48800000</v>
      </c>
      <c r="I5" s="312"/>
      <c r="J5" s="312"/>
      <c r="K5" s="312"/>
      <c r="L5" s="312"/>
      <c r="M5" s="312"/>
      <c r="N5" s="312"/>
      <c r="O5" s="312"/>
      <c r="P5" s="312"/>
      <c r="Q5" s="312"/>
      <c r="R5" s="312"/>
      <c r="S5" s="312">
        <f>F5+G5+H5+I5+J5+K5+L5+M5+N5+O5+P5+Q5+R5</f>
        <v>48800000</v>
      </c>
      <c r="T5" s="312"/>
      <c r="U5" s="312"/>
      <c r="V5" s="313"/>
      <c r="W5" s="313"/>
    </row>
    <row r="6" spans="1:23" s="300" customFormat="1" ht="30.6" customHeight="1">
      <c r="A6" s="309">
        <v>46051</v>
      </c>
      <c r="B6" s="304" t="s">
        <v>19</v>
      </c>
      <c r="C6" s="326" t="s">
        <v>24</v>
      </c>
      <c r="D6" s="311"/>
      <c r="E6" s="312">
        <v>37224000</v>
      </c>
      <c r="F6" s="312"/>
      <c r="G6" s="312"/>
      <c r="H6" s="312"/>
      <c r="I6" s="312"/>
      <c r="J6" s="312"/>
      <c r="K6" s="312"/>
      <c r="L6" s="312"/>
      <c r="M6" s="312"/>
      <c r="N6" s="312"/>
      <c r="O6" s="312"/>
      <c r="P6" s="312">
        <v>39600000</v>
      </c>
      <c r="Q6" s="312"/>
      <c r="R6" s="312"/>
      <c r="S6" s="312">
        <f>F6+G6+H6+I6+J6+K6+L6+M6+N6+O6+P6+Q6+R6</f>
        <v>39600000</v>
      </c>
      <c r="T6" s="312"/>
      <c r="U6" s="312"/>
      <c r="V6" s="313"/>
      <c r="W6" s="313"/>
    </row>
    <row r="7" spans="1:23" s="300" customFormat="1">
      <c r="A7" s="309">
        <v>46053</v>
      </c>
      <c r="B7" s="304" t="s">
        <v>25</v>
      </c>
      <c r="C7" s="326" t="s">
        <v>26</v>
      </c>
      <c r="D7" s="311">
        <v>11439</v>
      </c>
      <c r="E7" s="312">
        <v>2700000</v>
      </c>
      <c r="F7" s="312"/>
      <c r="G7" s="312"/>
      <c r="H7" s="312"/>
      <c r="I7" s="312">
        <v>2000000</v>
      </c>
      <c r="J7" s="312"/>
      <c r="K7" s="312"/>
      <c r="L7" s="312"/>
      <c r="M7" s="312"/>
      <c r="N7" s="312"/>
      <c r="O7" s="312"/>
      <c r="P7" s="312"/>
      <c r="Q7" s="312"/>
      <c r="R7" s="312"/>
      <c r="S7" s="312">
        <f t="shared" ref="S7:S13" si="0">F7+G7+H7+I7+J7+K7+L7+M7+N7+O7+P7+Q7+R7</f>
        <v>2000000</v>
      </c>
      <c r="T7" s="312"/>
      <c r="U7" s="312"/>
      <c r="V7" s="313"/>
      <c r="W7" s="313"/>
    </row>
    <row r="8" spans="1:23" s="300" customFormat="1" ht="26.25">
      <c r="A8" s="309">
        <v>46053</v>
      </c>
      <c r="B8" s="304" t="s">
        <v>19</v>
      </c>
      <c r="C8" s="326" t="s">
        <v>27</v>
      </c>
      <c r="D8" s="311">
        <v>10513</v>
      </c>
      <c r="E8" s="312">
        <v>35297000</v>
      </c>
      <c r="F8" s="312"/>
      <c r="G8" s="312"/>
      <c r="H8" s="312"/>
      <c r="I8" s="312"/>
      <c r="J8" s="312">
        <v>37550000</v>
      </c>
      <c r="K8" s="312"/>
      <c r="L8" s="312"/>
      <c r="M8" s="312"/>
      <c r="N8" s="312"/>
      <c r="O8" s="312"/>
      <c r="P8" s="312"/>
      <c r="Q8" s="312"/>
      <c r="R8" s="312"/>
      <c r="S8" s="312">
        <f t="shared" si="0"/>
        <v>37550000</v>
      </c>
      <c r="T8" s="312"/>
      <c r="U8" s="312"/>
      <c r="V8" s="313"/>
      <c r="W8" s="313"/>
    </row>
    <row r="9" spans="1:23" s="300" customFormat="1">
      <c r="A9" s="309">
        <v>46053</v>
      </c>
      <c r="B9" s="304" t="s">
        <v>28</v>
      </c>
      <c r="C9" s="326" t="s">
        <v>29</v>
      </c>
      <c r="D9" s="311">
        <v>14357</v>
      </c>
      <c r="E9" s="312">
        <v>2800000</v>
      </c>
      <c r="F9" s="312"/>
      <c r="G9" s="312"/>
      <c r="H9" s="312"/>
      <c r="I9" s="312"/>
      <c r="J9" s="312"/>
      <c r="K9" s="312">
        <v>2800000</v>
      </c>
      <c r="L9" s="312"/>
      <c r="M9" s="312"/>
      <c r="N9" s="312"/>
      <c r="O9" s="312"/>
      <c r="P9" s="312"/>
      <c r="Q9" s="312"/>
      <c r="R9" s="312"/>
      <c r="S9" s="312">
        <f t="shared" si="0"/>
        <v>2800000</v>
      </c>
      <c r="T9" s="312"/>
      <c r="U9" s="312"/>
      <c r="V9" s="313"/>
      <c r="W9" s="313"/>
    </row>
    <row r="10" spans="1:23" s="300" customFormat="1">
      <c r="A10" s="309">
        <v>46053</v>
      </c>
      <c r="B10" s="304" t="s">
        <v>30</v>
      </c>
      <c r="C10" s="326" t="s">
        <v>31</v>
      </c>
      <c r="D10" s="311">
        <v>11420</v>
      </c>
      <c r="E10" s="312">
        <v>2100000</v>
      </c>
      <c r="F10" s="312"/>
      <c r="G10" s="312"/>
      <c r="H10" s="312"/>
      <c r="I10" s="312"/>
      <c r="J10" s="312"/>
      <c r="K10" s="312"/>
      <c r="L10" s="312">
        <v>1500000</v>
      </c>
      <c r="M10" s="312">
        <v>600000</v>
      </c>
      <c r="N10" s="312"/>
      <c r="O10" s="312"/>
      <c r="P10" s="312"/>
      <c r="Q10" s="312"/>
      <c r="R10" s="312"/>
      <c r="S10" s="312">
        <f t="shared" si="0"/>
        <v>2100000</v>
      </c>
      <c r="T10" s="312"/>
      <c r="U10" s="312"/>
      <c r="V10" s="313"/>
      <c r="W10" s="313"/>
    </row>
    <row r="11" spans="1:23" s="300" customFormat="1" ht="30">
      <c r="A11" s="309">
        <v>46053</v>
      </c>
      <c r="B11" s="304" t="s">
        <v>30</v>
      </c>
      <c r="C11" s="326" t="s">
        <v>32</v>
      </c>
      <c r="D11" s="310" t="s">
        <v>33</v>
      </c>
      <c r="E11" s="312">
        <v>5510000</v>
      </c>
      <c r="F11" s="312"/>
      <c r="G11" s="312"/>
      <c r="H11" s="312"/>
      <c r="I11" s="312"/>
      <c r="J11" s="312"/>
      <c r="K11" s="312"/>
      <c r="L11" s="312">
        <f>1980000+1550000</f>
        <v>3530000</v>
      </c>
      <c r="M11" s="312">
        <f>620000</f>
        <v>620000</v>
      </c>
      <c r="N11" s="312">
        <f>510000+0</f>
        <v>510000</v>
      </c>
      <c r="O11" s="312">
        <v>850000</v>
      </c>
      <c r="P11" s="312"/>
      <c r="Q11" s="312"/>
      <c r="R11" s="312"/>
      <c r="S11" s="312">
        <f t="shared" si="0"/>
        <v>5510000</v>
      </c>
      <c r="T11" s="312"/>
      <c r="U11" s="312"/>
      <c r="V11" s="313"/>
      <c r="W11" s="313"/>
    </row>
    <row r="12" spans="1:23" s="300" customFormat="1" ht="45">
      <c r="A12" s="309">
        <v>46054</v>
      </c>
      <c r="B12" s="304" t="s">
        <v>30</v>
      </c>
      <c r="C12" s="327" t="s">
        <v>34</v>
      </c>
      <c r="D12" s="310" t="s">
        <v>35</v>
      </c>
      <c r="E12" s="312">
        <v>13114000</v>
      </c>
      <c r="F12" s="312"/>
      <c r="G12" s="312"/>
      <c r="H12" s="312"/>
      <c r="I12" s="312"/>
      <c r="J12" s="312"/>
      <c r="K12" s="312"/>
      <c r="L12" s="312">
        <f>2779000+250000+250000</f>
        <v>3279000</v>
      </c>
      <c r="M12" s="312"/>
      <c r="N12" s="312"/>
      <c r="O12" s="312"/>
      <c r="P12" s="312"/>
      <c r="Q12" s="312"/>
      <c r="R12" s="312">
        <v>9835000</v>
      </c>
      <c r="S12" s="312">
        <f t="shared" si="0"/>
        <v>13114000</v>
      </c>
      <c r="T12" s="312"/>
      <c r="U12" s="312"/>
      <c r="V12" s="313"/>
      <c r="W12" s="313"/>
    </row>
    <row r="13" spans="1:23">
      <c r="A13" s="123">
        <v>46053</v>
      </c>
      <c r="B13" s="130" t="s">
        <v>17</v>
      </c>
      <c r="C13" s="69"/>
      <c r="D13" s="69"/>
      <c r="E13" s="131">
        <v>272444</v>
      </c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31"/>
      <c r="Q13" s="131">
        <v>272444</v>
      </c>
      <c r="R13" s="131"/>
      <c r="S13" s="131">
        <f t="shared" si="0"/>
        <v>272444</v>
      </c>
      <c r="T13" s="131"/>
      <c r="U13" s="131"/>
      <c r="W13" s="126">
        <f>13114000-12614000</f>
        <v>500000</v>
      </c>
    </row>
    <row r="14" spans="1:23" s="1" customFormat="1">
      <c r="A14" s="141"/>
      <c r="B14" s="119" t="s">
        <v>5</v>
      </c>
      <c r="C14" s="141"/>
      <c r="D14" s="141"/>
      <c r="E14" s="142">
        <f>SUM(E3:E13)</f>
        <v>174192064</v>
      </c>
      <c r="F14" s="142">
        <f t="shared" ref="F14:U14" si="1">SUM(F3:F13)</f>
        <v>5973000</v>
      </c>
      <c r="G14" s="142">
        <f t="shared" si="1"/>
        <v>0</v>
      </c>
      <c r="H14" s="142">
        <f t="shared" si="1"/>
        <v>48800000</v>
      </c>
      <c r="I14" s="142">
        <f t="shared" si="1"/>
        <v>2000000</v>
      </c>
      <c r="J14" s="142">
        <f t="shared" si="1"/>
        <v>37550000</v>
      </c>
      <c r="K14" s="142">
        <f t="shared" si="1"/>
        <v>2800000</v>
      </c>
      <c r="L14" s="142">
        <f t="shared" si="1"/>
        <v>8309000</v>
      </c>
      <c r="M14" s="142">
        <f t="shared" si="1"/>
        <v>1220000</v>
      </c>
      <c r="N14" s="142">
        <f t="shared" si="1"/>
        <v>510000</v>
      </c>
      <c r="O14" s="142">
        <f t="shared" si="1"/>
        <v>850000</v>
      </c>
      <c r="P14" s="142">
        <f t="shared" si="1"/>
        <v>64800000</v>
      </c>
      <c r="Q14" s="142">
        <f t="shared" si="1"/>
        <v>272444</v>
      </c>
      <c r="R14" s="142">
        <f t="shared" si="1"/>
        <v>9835000</v>
      </c>
      <c r="S14" s="142">
        <f t="shared" si="1"/>
        <v>182919444</v>
      </c>
      <c r="T14" s="142">
        <f t="shared" si="1"/>
        <v>0</v>
      </c>
      <c r="U14" s="142">
        <f t="shared" si="1"/>
        <v>0</v>
      </c>
      <c r="V14" s="143"/>
      <c r="W14" s="143"/>
    </row>
    <row r="15" spans="1:23">
      <c r="A15" s="69"/>
      <c r="B15" s="130"/>
      <c r="C15" s="69"/>
      <c r="D15" s="69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</row>
    <row r="16" spans="1:23">
      <c r="A16" s="69"/>
      <c r="B16" s="130"/>
      <c r="C16" s="69"/>
      <c r="D16" s="69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</row>
    <row r="17" spans="1:21">
      <c r="A17" s="69"/>
      <c r="B17" s="130"/>
      <c r="C17" s="69"/>
      <c r="D17" s="69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</row>
    <row r="18" spans="1:21">
      <c r="A18" s="69"/>
      <c r="B18" s="130"/>
      <c r="C18" s="69"/>
      <c r="D18" s="69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</row>
    <row r="19" spans="1:21">
      <c r="A19" s="323"/>
      <c r="B19" s="324"/>
      <c r="C19" s="323"/>
      <c r="D19" s="323"/>
      <c r="E19" s="325"/>
      <c r="F19" s="325"/>
      <c r="G19" s="325"/>
      <c r="H19" s="325"/>
      <c r="I19" s="325"/>
      <c r="J19" s="325"/>
      <c r="K19" s="325"/>
      <c r="L19" s="325"/>
      <c r="M19" s="325"/>
      <c r="N19" s="325"/>
      <c r="O19" s="325"/>
      <c r="P19" s="131"/>
      <c r="Q19" s="131"/>
      <c r="R19" s="131"/>
      <c r="S19" s="131"/>
      <c r="T19" s="131"/>
      <c r="U19" s="131"/>
    </row>
    <row r="20" spans="1:21">
      <c r="A20" s="69"/>
      <c r="B20" s="130"/>
      <c r="C20" s="69"/>
      <c r="D20" s="69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</row>
    <row r="21" spans="1:21">
      <c r="A21" s="69"/>
      <c r="B21" s="130"/>
      <c r="C21" s="69"/>
      <c r="D21" s="69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</row>
    <row r="22" spans="1:21">
      <c r="A22" s="69"/>
      <c r="B22" s="130"/>
      <c r="C22" s="69"/>
      <c r="D22" s="69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</row>
    <row r="23" spans="1:21">
      <c r="A23" s="69"/>
      <c r="B23" s="130"/>
      <c r="C23" s="69"/>
      <c r="D23" s="69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</row>
    <row r="24" spans="1:21">
      <c r="A24" s="69"/>
      <c r="B24" s="130"/>
      <c r="C24" s="69"/>
      <c r="D24" s="69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</row>
    <row r="25" spans="1:21">
      <c r="A25" s="69"/>
      <c r="B25" s="130"/>
      <c r="C25" s="69"/>
      <c r="D25" s="69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</row>
    <row r="26" spans="1:21">
      <c r="A26" s="69"/>
      <c r="B26" s="130"/>
      <c r="C26" s="69"/>
      <c r="D26" s="69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</row>
  </sheetData>
  <pageMargins left="0" right="0" top="0" bottom="0" header="0.31496062992126" footer="0.31496062992126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N10"/>
  <sheetViews>
    <sheetView workbookViewId="0">
      <pane ySplit="2" topLeftCell="A5" activePane="bottomLeft" state="frozen"/>
      <selection pane="bottomLeft"/>
    </sheetView>
  </sheetViews>
  <sheetFormatPr defaultColWidth="9" defaultRowHeight="15"/>
  <cols>
    <col min="1" max="1" width="11.5703125" customWidth="1"/>
    <col min="2" max="2" width="22.5703125" customWidth="1"/>
    <col min="3" max="3" width="8.85546875" customWidth="1"/>
    <col min="4" max="4" width="13.5703125" style="116" customWidth="1"/>
    <col min="5" max="6" width="11.140625" style="116" customWidth="1"/>
    <col min="7" max="7" width="10.85546875" style="116" customWidth="1"/>
    <col min="8" max="8" width="10.42578125" style="116" customWidth="1"/>
    <col min="9" max="9" width="10.85546875" style="116" customWidth="1"/>
    <col min="10" max="10" width="12.140625" style="116" customWidth="1"/>
    <col min="11" max="14" width="8.7109375" style="116"/>
  </cols>
  <sheetData>
    <row r="1" spans="12:14" s="318" customFormat="1" ht="15.75">
      <c r="L1" s="319"/>
      <c r="M1" s="319"/>
      <c r="N1" s="319"/>
    </row>
    <row r="2" spans="12:14" s="1" customFormat="1" ht="48.95" customHeight="1">
      <c r="L2" s="320"/>
      <c r="M2" s="320"/>
      <c r="N2" s="320"/>
    </row>
    <row r="10" spans="12:14" s="1" customFormat="1">
      <c r="L10" s="320"/>
      <c r="M10" s="320"/>
      <c r="N10" s="320"/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81"/>
  <sheetViews>
    <sheetView workbookViewId="0">
      <pane ySplit="2" topLeftCell="A3" activePane="bottomLeft" state="frozen"/>
      <selection pane="bottomLeft" activeCell="B3" sqref="B3:B80"/>
    </sheetView>
  </sheetViews>
  <sheetFormatPr defaultColWidth="9" defaultRowHeight="15"/>
  <cols>
    <col min="1" max="1" width="11" customWidth="1"/>
    <col min="2" max="2" width="26.85546875" customWidth="1"/>
    <col min="3" max="3" width="9.5703125" customWidth="1"/>
    <col min="4" max="4" width="7" customWidth="1"/>
    <col min="5" max="5" width="15.42578125" style="126" customWidth="1"/>
    <col min="6" max="6" width="12.140625" style="126" customWidth="1"/>
    <col min="7" max="7" width="11.42578125" style="126" customWidth="1"/>
    <col min="8" max="8" width="13.5703125" style="126" customWidth="1"/>
    <col min="9" max="9" width="11.42578125" style="126" customWidth="1"/>
    <col min="10" max="11" width="12.28515625" style="126" customWidth="1"/>
    <col min="12" max="13" width="10.85546875" style="126" customWidth="1"/>
    <col min="14" max="14" width="10.140625" style="126" customWidth="1"/>
    <col min="15" max="15" width="11.140625" style="126" customWidth="1"/>
    <col min="16" max="17" width="10.85546875" style="126" customWidth="1"/>
    <col min="18" max="18" width="13.140625" style="126" customWidth="1"/>
    <col min="19" max="20" width="10.85546875" style="126" customWidth="1"/>
    <col min="21" max="21" width="9.28515625" style="126" customWidth="1"/>
    <col min="22" max="22" width="9.5703125" style="126" customWidth="1"/>
    <col min="23" max="25" width="10.85546875" style="126" customWidth="1"/>
    <col min="26" max="26" width="12.5703125" style="126" customWidth="1"/>
    <col min="27" max="27" width="11.5703125" style="126" customWidth="1"/>
    <col min="28" max="30" width="10.85546875" style="126" customWidth="1"/>
    <col min="31" max="31" width="9.28515625" style="126" customWidth="1"/>
    <col min="32" max="32" width="8.85546875" style="126" customWidth="1"/>
    <col min="33" max="35" width="10.85546875" style="126" customWidth="1"/>
    <col min="36" max="36" width="11.42578125" style="126" customWidth="1"/>
    <col min="37" max="37" width="8.85546875" style="126" customWidth="1"/>
    <col min="38" max="38" width="13.140625" style="126" customWidth="1"/>
    <col min="39" max="49" width="12" style="126" customWidth="1"/>
    <col min="50" max="50" width="15.28515625" style="126" customWidth="1"/>
    <col min="51" max="53" width="9" style="126" hidden="1" customWidth="1"/>
  </cols>
  <sheetData>
    <row r="1" spans="1:53" s="298" customFormat="1" ht="15.6" customHeight="1">
      <c r="B1" s="328" t="s">
        <v>36</v>
      </c>
      <c r="C1" s="329"/>
      <c r="D1" s="329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  <c r="AB1" s="301"/>
      <c r="AC1" s="301"/>
      <c r="AD1" s="301"/>
      <c r="AE1" s="301"/>
      <c r="AF1" s="301"/>
      <c r="AG1" s="301"/>
      <c r="AH1" s="301"/>
      <c r="AI1" s="301"/>
      <c r="AJ1" s="301"/>
      <c r="AK1" s="301"/>
      <c r="AL1" s="301"/>
      <c r="AM1" s="301"/>
      <c r="AN1" s="301"/>
      <c r="AO1" s="301"/>
      <c r="AP1" s="301"/>
      <c r="AQ1" s="301"/>
      <c r="AR1" s="301"/>
      <c r="AS1" s="301"/>
      <c r="AT1" s="301"/>
      <c r="AU1" s="301"/>
      <c r="AV1" s="301"/>
      <c r="AW1" s="301"/>
      <c r="AX1" s="301"/>
      <c r="AY1" s="301"/>
      <c r="AZ1" s="301"/>
      <c r="BA1" s="301"/>
    </row>
    <row r="2" spans="1:53" s="249" customFormat="1" ht="64.5">
      <c r="A2" s="252" t="s">
        <v>1</v>
      </c>
      <c r="B2" s="127" t="s">
        <v>2</v>
      </c>
      <c r="C2" s="252" t="s">
        <v>3</v>
      </c>
      <c r="D2" s="252" t="s">
        <v>4</v>
      </c>
      <c r="E2" s="294" t="s">
        <v>5</v>
      </c>
      <c r="F2" s="294" t="s">
        <v>37</v>
      </c>
      <c r="G2" s="294" t="s">
        <v>38</v>
      </c>
      <c r="H2" s="294" t="s">
        <v>7</v>
      </c>
      <c r="I2" s="128" t="s">
        <v>39</v>
      </c>
      <c r="J2" s="128" t="s">
        <v>12</v>
      </c>
      <c r="K2" s="128" t="s">
        <v>9</v>
      </c>
      <c r="L2" s="294" t="s">
        <v>40</v>
      </c>
      <c r="M2" s="294" t="s">
        <v>41</v>
      </c>
      <c r="N2" s="128" t="s">
        <v>42</v>
      </c>
      <c r="O2" s="128" t="s">
        <v>43</v>
      </c>
      <c r="P2" s="294" t="s">
        <v>44</v>
      </c>
      <c r="Q2" s="128" t="s">
        <v>45</v>
      </c>
      <c r="R2" s="128" t="s">
        <v>46</v>
      </c>
      <c r="S2" s="128" t="s">
        <v>47</v>
      </c>
      <c r="T2" s="294" t="s">
        <v>48</v>
      </c>
      <c r="U2" s="294" t="s">
        <v>49</v>
      </c>
      <c r="V2" s="128" t="s">
        <v>50</v>
      </c>
      <c r="W2" s="294" t="s">
        <v>51</v>
      </c>
      <c r="X2" s="294" t="s">
        <v>52</v>
      </c>
      <c r="Y2" s="294" t="s">
        <v>53</v>
      </c>
      <c r="Z2" s="294" t="s">
        <v>54</v>
      </c>
      <c r="AA2" s="128" t="s">
        <v>55</v>
      </c>
      <c r="AB2" s="128" t="s">
        <v>56</v>
      </c>
      <c r="AC2" s="128" t="s">
        <v>57</v>
      </c>
      <c r="AD2" s="128" t="s">
        <v>58</v>
      </c>
      <c r="AE2" s="294" t="s">
        <v>59</v>
      </c>
      <c r="AF2" s="294" t="s">
        <v>14</v>
      </c>
      <c r="AG2" s="294" t="s">
        <v>60</v>
      </c>
      <c r="AH2" s="128" t="s">
        <v>10</v>
      </c>
      <c r="AI2" s="128" t="s">
        <v>61</v>
      </c>
      <c r="AJ2" s="128" t="s">
        <v>62</v>
      </c>
      <c r="AK2" s="128" t="s">
        <v>61</v>
      </c>
      <c r="AL2" s="128" t="s">
        <v>8</v>
      </c>
      <c r="AM2" s="128" t="s">
        <v>63</v>
      </c>
      <c r="AN2" s="128" t="s">
        <v>64</v>
      </c>
      <c r="AO2" s="128" t="s">
        <v>15</v>
      </c>
      <c r="AP2" s="128" t="s">
        <v>65</v>
      </c>
      <c r="AQ2" s="128" t="s">
        <v>66</v>
      </c>
      <c r="AR2" s="128" t="s">
        <v>67</v>
      </c>
      <c r="AS2" s="128" t="s">
        <v>68</v>
      </c>
      <c r="AT2" s="128" t="s">
        <v>69</v>
      </c>
      <c r="AU2" s="128" t="s">
        <v>70</v>
      </c>
      <c r="AV2" s="128" t="s">
        <v>71</v>
      </c>
      <c r="AW2" s="128" t="s">
        <v>72</v>
      </c>
      <c r="AX2" s="296" t="s">
        <v>5</v>
      </c>
      <c r="AY2" s="302"/>
      <c r="AZ2" s="302"/>
      <c r="BA2" s="302"/>
    </row>
    <row r="3" spans="1:53" s="299" customFormat="1" ht="12.75">
      <c r="A3" s="303">
        <v>46055</v>
      </c>
      <c r="B3" s="304" t="s">
        <v>73</v>
      </c>
      <c r="C3" s="305">
        <v>7355</v>
      </c>
      <c r="D3" s="305">
        <v>11328</v>
      </c>
      <c r="E3" s="306">
        <v>8000000</v>
      </c>
      <c r="F3" s="306"/>
      <c r="G3" s="306">
        <f>580000+420000</f>
        <v>1000000</v>
      </c>
      <c r="H3" s="306"/>
      <c r="I3" s="307"/>
      <c r="J3" s="307"/>
      <c r="K3" s="307">
        <v>1000000</v>
      </c>
      <c r="L3" s="306"/>
      <c r="M3" s="306"/>
      <c r="N3" s="307"/>
      <c r="O3" s="307">
        <f>3000000</f>
        <v>3000000</v>
      </c>
      <c r="P3" s="306"/>
      <c r="Q3" s="307"/>
      <c r="R3" s="307"/>
      <c r="S3" s="307">
        <v>800000</v>
      </c>
      <c r="T3" s="306"/>
      <c r="U3" s="306"/>
      <c r="V3" s="307"/>
      <c r="W3" s="306"/>
      <c r="X3" s="306">
        <f>1200000</f>
        <v>1200000</v>
      </c>
      <c r="Y3" s="306"/>
      <c r="Z3" s="306"/>
      <c r="AA3" s="307"/>
      <c r="AB3" s="307"/>
      <c r="AC3" s="307"/>
      <c r="AD3" s="307"/>
      <c r="AE3" s="306"/>
      <c r="AF3" s="306"/>
      <c r="AG3" s="306">
        <f>780000</f>
        <v>780000</v>
      </c>
      <c r="AH3" s="306">
        <v>220000</v>
      </c>
      <c r="AI3" s="306"/>
      <c r="AJ3" s="306"/>
      <c r="AK3" s="306"/>
      <c r="AL3" s="306"/>
      <c r="AM3" s="306"/>
      <c r="AN3" s="306"/>
      <c r="AO3" s="306"/>
      <c r="AP3" s="306"/>
      <c r="AQ3" s="306"/>
      <c r="AR3" s="306"/>
      <c r="AS3" s="306"/>
      <c r="AT3" s="306"/>
      <c r="AU3" s="306"/>
      <c r="AV3" s="306"/>
      <c r="AW3" s="306"/>
      <c r="AX3" s="306">
        <f t="shared" ref="AX3:AX34" si="0">F3+G3+H3+I3+J3+K3+L3+M3+N3+O3+P3+Q3+R3+S3+T3+U3+V3+W3+X3+Y3+Z3+AA3+AB3+AC3+AD3+AE3+AF3+AG3+AH3+AI3+AJ3+AK3+AL3+AM3+AN3+AO3+AP3+AQ3+AR3+AS3+AT3+AU3+AW3</f>
        <v>8000000</v>
      </c>
      <c r="AY3" s="308"/>
      <c r="AZ3" s="308"/>
      <c r="BA3" s="308"/>
    </row>
    <row r="4" spans="1:53" s="300" customFormat="1" ht="18.95" customHeight="1">
      <c r="A4" s="309">
        <v>46056</v>
      </c>
      <c r="B4" s="310" t="s">
        <v>74</v>
      </c>
      <c r="C4" s="326" t="s">
        <v>75</v>
      </c>
      <c r="D4" s="311">
        <v>11432</v>
      </c>
      <c r="E4" s="312">
        <v>250000</v>
      </c>
      <c r="F4" s="312"/>
      <c r="G4" s="312"/>
      <c r="H4" s="312">
        <v>250000</v>
      </c>
      <c r="I4" s="312"/>
      <c r="J4" s="312"/>
      <c r="K4" s="312"/>
      <c r="L4" s="312"/>
      <c r="M4" s="312"/>
      <c r="N4" s="312"/>
      <c r="O4" s="312"/>
      <c r="P4" s="312"/>
      <c r="Q4" s="312"/>
      <c r="R4" s="312"/>
      <c r="S4" s="312"/>
      <c r="T4" s="312"/>
      <c r="U4" s="312"/>
      <c r="V4" s="312"/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2"/>
      <c r="AI4" s="312"/>
      <c r="AJ4" s="312"/>
      <c r="AK4" s="312"/>
      <c r="AL4" s="312"/>
      <c r="AM4" s="312"/>
      <c r="AN4" s="312"/>
      <c r="AO4" s="312"/>
      <c r="AP4" s="312"/>
      <c r="AQ4" s="312"/>
      <c r="AR4" s="312"/>
      <c r="AS4" s="312"/>
      <c r="AT4" s="312"/>
      <c r="AU4" s="312"/>
      <c r="AV4" s="312"/>
      <c r="AW4" s="312"/>
      <c r="AX4" s="306">
        <f t="shared" si="0"/>
        <v>250000</v>
      </c>
      <c r="AY4" s="313"/>
      <c r="AZ4" s="313"/>
      <c r="BA4" s="313"/>
    </row>
    <row r="5" spans="1:53" s="300" customFormat="1">
      <c r="A5" s="309">
        <v>46055</v>
      </c>
      <c r="B5" s="311" t="s">
        <v>76</v>
      </c>
      <c r="C5" s="326" t="s">
        <v>77</v>
      </c>
      <c r="D5" s="311">
        <v>11417</v>
      </c>
      <c r="E5" s="312">
        <v>465000</v>
      </c>
      <c r="F5" s="312"/>
      <c r="G5" s="312">
        <v>465000</v>
      </c>
      <c r="H5" s="312"/>
      <c r="I5" s="312"/>
      <c r="J5" s="312"/>
      <c r="K5" s="312"/>
      <c r="L5" s="312"/>
      <c r="M5" s="312"/>
      <c r="N5" s="312"/>
      <c r="O5" s="312"/>
      <c r="P5" s="312"/>
      <c r="Q5" s="312"/>
      <c r="R5" s="312"/>
      <c r="S5" s="312"/>
      <c r="T5" s="312"/>
      <c r="U5" s="312"/>
      <c r="V5" s="312"/>
      <c r="W5" s="312"/>
      <c r="X5" s="312"/>
      <c r="Y5" s="312"/>
      <c r="Z5" s="312"/>
      <c r="AA5" s="312"/>
      <c r="AB5" s="312"/>
      <c r="AC5" s="312"/>
      <c r="AD5" s="312"/>
      <c r="AE5" s="312"/>
      <c r="AF5" s="312"/>
      <c r="AG5" s="312"/>
      <c r="AH5" s="312"/>
      <c r="AI5" s="312"/>
      <c r="AJ5" s="312"/>
      <c r="AK5" s="312"/>
      <c r="AL5" s="312"/>
      <c r="AM5" s="312"/>
      <c r="AN5" s="312"/>
      <c r="AO5" s="312"/>
      <c r="AP5" s="312"/>
      <c r="AQ5" s="312"/>
      <c r="AR5" s="312"/>
      <c r="AS5" s="312"/>
      <c r="AT5" s="312"/>
      <c r="AU5" s="312"/>
      <c r="AV5" s="312"/>
      <c r="AW5" s="312"/>
      <c r="AX5" s="306">
        <f t="shared" si="0"/>
        <v>465000</v>
      </c>
      <c r="AY5" s="313"/>
      <c r="AZ5" s="313"/>
      <c r="BA5" s="313"/>
    </row>
    <row r="6" spans="1:53" s="300" customFormat="1">
      <c r="A6" s="309">
        <v>46056</v>
      </c>
      <c r="B6" s="311" t="s">
        <v>76</v>
      </c>
      <c r="C6" s="326" t="s">
        <v>78</v>
      </c>
      <c r="D6" s="311">
        <v>11441</v>
      </c>
      <c r="E6" s="312">
        <v>1350000</v>
      </c>
      <c r="F6" s="312"/>
      <c r="G6" s="312">
        <v>450000</v>
      </c>
      <c r="H6" s="312"/>
      <c r="I6" s="312">
        <v>900000</v>
      </c>
      <c r="J6" s="312"/>
      <c r="K6" s="312"/>
      <c r="L6" s="312"/>
      <c r="M6" s="312"/>
      <c r="N6" s="312"/>
      <c r="O6" s="312"/>
      <c r="P6" s="312"/>
      <c r="Q6" s="312"/>
      <c r="R6" s="312"/>
      <c r="S6" s="312"/>
      <c r="T6" s="312"/>
      <c r="U6" s="312"/>
      <c r="V6" s="312"/>
      <c r="W6" s="312"/>
      <c r="X6" s="312"/>
      <c r="Y6" s="312"/>
      <c r="Z6" s="312"/>
      <c r="AA6" s="312"/>
      <c r="AB6" s="312"/>
      <c r="AC6" s="312"/>
      <c r="AD6" s="312"/>
      <c r="AE6" s="312"/>
      <c r="AF6" s="312"/>
      <c r="AG6" s="312"/>
      <c r="AH6" s="312"/>
      <c r="AI6" s="312"/>
      <c r="AJ6" s="312"/>
      <c r="AK6" s="312"/>
      <c r="AL6" s="312"/>
      <c r="AM6" s="312"/>
      <c r="AN6" s="312"/>
      <c r="AO6" s="312"/>
      <c r="AP6" s="312"/>
      <c r="AQ6" s="312"/>
      <c r="AR6" s="312"/>
      <c r="AS6" s="312"/>
      <c r="AT6" s="312"/>
      <c r="AU6" s="312"/>
      <c r="AV6" s="312"/>
      <c r="AW6" s="312"/>
      <c r="AX6" s="306">
        <f t="shared" si="0"/>
        <v>1350000</v>
      </c>
      <c r="AY6" s="313"/>
      <c r="AZ6" s="313"/>
      <c r="BA6" s="313"/>
    </row>
    <row r="7" spans="1:53" s="300" customFormat="1">
      <c r="A7" s="309">
        <v>46055</v>
      </c>
      <c r="B7" s="311" t="s">
        <v>74</v>
      </c>
      <c r="C7" s="311" t="s">
        <v>79</v>
      </c>
      <c r="D7" s="311">
        <v>11408</v>
      </c>
      <c r="E7" s="312">
        <v>600000</v>
      </c>
      <c r="F7" s="312"/>
      <c r="G7" s="312"/>
      <c r="H7" s="312"/>
      <c r="I7" s="312"/>
      <c r="J7" s="312">
        <v>600000</v>
      </c>
      <c r="K7" s="312"/>
      <c r="L7" s="312"/>
      <c r="M7" s="312"/>
      <c r="N7" s="312"/>
      <c r="O7" s="312"/>
      <c r="P7" s="312"/>
      <c r="Q7" s="312"/>
      <c r="R7" s="312"/>
      <c r="S7" s="312"/>
      <c r="T7" s="312"/>
      <c r="U7" s="312"/>
      <c r="V7" s="312"/>
      <c r="W7" s="312"/>
      <c r="X7" s="312"/>
      <c r="Y7" s="312"/>
      <c r="Z7" s="312"/>
      <c r="AA7" s="312"/>
      <c r="AB7" s="312"/>
      <c r="AC7" s="312"/>
      <c r="AD7" s="312"/>
      <c r="AE7" s="312"/>
      <c r="AF7" s="312"/>
      <c r="AG7" s="312"/>
      <c r="AH7" s="312"/>
      <c r="AI7" s="312"/>
      <c r="AJ7" s="312"/>
      <c r="AK7" s="312"/>
      <c r="AL7" s="312"/>
      <c r="AM7" s="312"/>
      <c r="AN7" s="312"/>
      <c r="AO7" s="312"/>
      <c r="AP7" s="312"/>
      <c r="AQ7" s="312"/>
      <c r="AR7" s="312"/>
      <c r="AS7" s="312"/>
      <c r="AT7" s="312"/>
      <c r="AU7" s="312"/>
      <c r="AV7" s="312"/>
      <c r="AW7" s="312"/>
      <c r="AX7" s="306">
        <f t="shared" si="0"/>
        <v>600000</v>
      </c>
      <c r="AY7" s="313"/>
      <c r="AZ7" s="313"/>
      <c r="BA7" s="313"/>
    </row>
    <row r="8" spans="1:53" s="300" customFormat="1">
      <c r="A8" s="309">
        <v>46056</v>
      </c>
      <c r="B8" s="311" t="s">
        <v>74</v>
      </c>
      <c r="C8" s="326" t="s">
        <v>80</v>
      </c>
      <c r="D8" s="311">
        <v>11443</v>
      </c>
      <c r="E8" s="312">
        <v>6868000</v>
      </c>
      <c r="F8" s="312"/>
      <c r="G8" s="312">
        <v>540000</v>
      </c>
      <c r="H8" s="312">
        <v>250000</v>
      </c>
      <c r="I8" s="312"/>
      <c r="J8" s="312">
        <v>600000</v>
      </c>
      <c r="K8" s="312"/>
      <c r="L8" s="312">
        <f>3630000</f>
        <v>3630000</v>
      </c>
      <c r="M8" s="312">
        <v>1848000</v>
      </c>
      <c r="N8" s="312"/>
      <c r="O8" s="312"/>
      <c r="P8" s="312"/>
      <c r="Q8" s="312"/>
      <c r="R8" s="312"/>
      <c r="S8" s="312"/>
      <c r="T8" s="312"/>
      <c r="U8" s="312"/>
      <c r="V8" s="312"/>
      <c r="W8" s="312"/>
      <c r="X8" s="312"/>
      <c r="Y8" s="312"/>
      <c r="Z8" s="312"/>
      <c r="AA8" s="312"/>
      <c r="AB8" s="312"/>
      <c r="AC8" s="312"/>
      <c r="AD8" s="312"/>
      <c r="AE8" s="312"/>
      <c r="AF8" s="312"/>
      <c r="AG8" s="312"/>
      <c r="AH8" s="312"/>
      <c r="AI8" s="312"/>
      <c r="AJ8" s="312"/>
      <c r="AK8" s="312"/>
      <c r="AL8" s="312"/>
      <c r="AM8" s="312"/>
      <c r="AN8" s="312"/>
      <c r="AO8" s="312"/>
      <c r="AP8" s="312"/>
      <c r="AQ8" s="312"/>
      <c r="AR8" s="312"/>
      <c r="AS8" s="312"/>
      <c r="AT8" s="312"/>
      <c r="AU8" s="312"/>
      <c r="AV8" s="312"/>
      <c r="AW8" s="312"/>
      <c r="AX8" s="306">
        <f t="shared" si="0"/>
        <v>6868000</v>
      </c>
      <c r="AY8" s="313"/>
      <c r="AZ8" s="313"/>
      <c r="BA8" s="313"/>
    </row>
    <row r="9" spans="1:53" s="300" customFormat="1">
      <c r="A9" s="309">
        <v>46087</v>
      </c>
      <c r="B9" s="311" t="s">
        <v>81</v>
      </c>
      <c r="C9" s="311">
        <v>7411</v>
      </c>
      <c r="D9" s="311"/>
      <c r="E9" s="312">
        <v>200000000</v>
      </c>
      <c r="F9" s="312"/>
      <c r="G9" s="312"/>
      <c r="H9" s="312"/>
      <c r="I9" s="312"/>
      <c r="J9" s="312"/>
      <c r="K9" s="312"/>
      <c r="L9" s="312"/>
      <c r="M9" s="312"/>
      <c r="N9" s="312"/>
      <c r="O9" s="312"/>
      <c r="P9" s="312"/>
      <c r="Q9" s="312"/>
      <c r="R9" s="312"/>
      <c r="S9" s="312"/>
      <c r="T9" s="312"/>
      <c r="U9" s="312"/>
      <c r="V9" s="312"/>
      <c r="W9" s="312"/>
      <c r="X9" s="312"/>
      <c r="Y9" s="312"/>
      <c r="Z9" s="312"/>
      <c r="AA9" s="312"/>
      <c r="AB9" s="312"/>
      <c r="AC9" s="312"/>
      <c r="AD9" s="312"/>
      <c r="AE9" s="312"/>
      <c r="AF9" s="312"/>
      <c r="AG9" s="312"/>
      <c r="AH9" s="312"/>
      <c r="AI9" s="312"/>
      <c r="AJ9" s="312"/>
      <c r="AK9" s="312"/>
      <c r="AL9" s="312"/>
      <c r="AM9" s="312"/>
      <c r="AN9" s="312"/>
      <c r="AO9" s="312"/>
      <c r="AP9" s="312"/>
      <c r="AQ9" s="312"/>
      <c r="AR9" s="312"/>
      <c r="AS9" s="312"/>
      <c r="AT9" s="312"/>
      <c r="AU9" s="312">
        <v>200000000</v>
      </c>
      <c r="AV9" s="312"/>
      <c r="AW9" s="312"/>
      <c r="AX9" s="306">
        <f t="shared" si="0"/>
        <v>200000000</v>
      </c>
      <c r="AY9" s="313"/>
      <c r="AZ9" s="313"/>
      <c r="BA9" s="313"/>
    </row>
    <row r="10" spans="1:53" s="300" customFormat="1">
      <c r="A10" s="309">
        <v>46087</v>
      </c>
      <c r="B10" s="311" t="s">
        <v>82</v>
      </c>
      <c r="C10" s="311">
        <v>7424</v>
      </c>
      <c r="D10" s="311">
        <v>10562</v>
      </c>
      <c r="E10" s="312">
        <v>1702000</v>
      </c>
      <c r="F10" s="312"/>
      <c r="G10" s="312"/>
      <c r="H10" s="312"/>
      <c r="I10" s="312"/>
      <c r="J10" s="312"/>
      <c r="K10" s="312"/>
      <c r="L10" s="312"/>
      <c r="M10" s="312"/>
      <c r="N10" s="312">
        <v>1702000</v>
      </c>
      <c r="O10" s="312"/>
      <c r="P10" s="312"/>
      <c r="Q10" s="312"/>
      <c r="R10" s="312"/>
      <c r="S10" s="312"/>
      <c r="T10" s="312"/>
      <c r="U10" s="312"/>
      <c r="V10" s="312"/>
      <c r="W10" s="312"/>
      <c r="X10" s="312"/>
      <c r="Y10" s="312"/>
      <c r="Z10" s="312"/>
      <c r="AA10" s="312"/>
      <c r="AB10" s="312"/>
      <c r="AC10" s="312"/>
      <c r="AD10" s="312"/>
      <c r="AE10" s="312"/>
      <c r="AF10" s="312"/>
      <c r="AG10" s="312"/>
      <c r="AH10" s="312"/>
      <c r="AI10" s="312"/>
      <c r="AJ10" s="312"/>
      <c r="AK10" s="312"/>
      <c r="AL10" s="312"/>
      <c r="AM10" s="312"/>
      <c r="AN10" s="312"/>
      <c r="AO10" s="312"/>
      <c r="AP10" s="312"/>
      <c r="AQ10" s="312"/>
      <c r="AR10" s="312"/>
      <c r="AS10" s="312"/>
      <c r="AT10" s="312"/>
      <c r="AU10" s="312"/>
      <c r="AV10" s="312"/>
      <c r="AW10" s="312"/>
      <c r="AX10" s="306">
        <f t="shared" si="0"/>
        <v>1702000</v>
      </c>
      <c r="AY10" s="313"/>
      <c r="AZ10" s="313"/>
      <c r="BA10" s="313"/>
    </row>
    <row r="11" spans="1:53" s="300" customFormat="1" ht="30">
      <c r="A11" s="309">
        <v>46083</v>
      </c>
      <c r="B11" s="310" t="s">
        <v>19</v>
      </c>
      <c r="C11" s="311">
        <v>7406</v>
      </c>
      <c r="D11" s="311"/>
      <c r="E11" s="312">
        <v>46530000</v>
      </c>
      <c r="F11" s="312"/>
      <c r="G11" s="312"/>
      <c r="H11" s="312"/>
      <c r="I11" s="312"/>
      <c r="J11" s="312"/>
      <c r="K11" s="312"/>
      <c r="L11" s="312"/>
      <c r="M11" s="312"/>
      <c r="N11" s="312"/>
      <c r="O11" s="312"/>
      <c r="P11" s="312"/>
      <c r="Q11" s="312"/>
      <c r="R11" s="312"/>
      <c r="S11" s="312"/>
      <c r="T11" s="312"/>
      <c r="U11" s="312"/>
      <c r="V11" s="312"/>
      <c r="W11" s="312"/>
      <c r="X11" s="312"/>
      <c r="Y11" s="312"/>
      <c r="Z11" s="312"/>
      <c r="AA11" s="312"/>
      <c r="AB11" s="312"/>
      <c r="AC11" s="312"/>
      <c r="AD11" s="312"/>
      <c r="AE11" s="312"/>
      <c r="AF11" s="312"/>
      <c r="AG11" s="312"/>
      <c r="AH11" s="312"/>
      <c r="AI11" s="312"/>
      <c r="AJ11" s="312"/>
      <c r="AK11" s="312"/>
      <c r="AL11" s="312"/>
      <c r="AM11" s="312"/>
      <c r="AN11" s="312"/>
      <c r="AO11" s="312"/>
      <c r="AP11" s="312"/>
      <c r="AQ11" s="312"/>
      <c r="AR11" s="312"/>
      <c r="AS11" s="312"/>
      <c r="AT11" s="312"/>
      <c r="AU11" s="312"/>
      <c r="AV11" s="312"/>
      <c r="AW11" s="312"/>
      <c r="AX11" s="306">
        <f t="shared" si="0"/>
        <v>0</v>
      </c>
      <c r="AY11" s="313"/>
      <c r="AZ11" s="313"/>
      <c r="BA11" s="313"/>
    </row>
    <row r="12" spans="1:53" s="300" customFormat="1">
      <c r="A12" s="309" t="s">
        <v>83</v>
      </c>
      <c r="B12" s="311" t="s">
        <v>84</v>
      </c>
      <c r="C12" s="311">
        <v>7410</v>
      </c>
      <c r="D12" s="311"/>
      <c r="E12" s="312">
        <v>85000000</v>
      </c>
      <c r="F12" s="312"/>
      <c r="G12" s="312"/>
      <c r="H12" s="312"/>
      <c r="I12" s="312"/>
      <c r="J12" s="312"/>
      <c r="K12" s="312"/>
      <c r="L12" s="312"/>
      <c r="M12" s="312"/>
      <c r="N12" s="312"/>
      <c r="O12" s="312"/>
      <c r="P12" s="312"/>
      <c r="Q12" s="312"/>
      <c r="R12" s="312"/>
      <c r="S12" s="312"/>
      <c r="T12" s="312"/>
      <c r="U12" s="312"/>
      <c r="V12" s="312"/>
      <c r="W12" s="312"/>
      <c r="X12" s="312"/>
      <c r="Y12" s="312"/>
      <c r="Z12" s="312"/>
      <c r="AA12" s="312"/>
      <c r="AB12" s="312"/>
      <c r="AC12" s="312"/>
      <c r="AD12" s="312"/>
      <c r="AE12" s="312"/>
      <c r="AF12" s="312"/>
      <c r="AG12" s="312"/>
      <c r="AH12" s="312"/>
      <c r="AI12" s="312"/>
      <c r="AJ12" s="312"/>
      <c r="AK12" s="312"/>
      <c r="AL12" s="312"/>
      <c r="AM12" s="312"/>
      <c r="AN12" s="312"/>
      <c r="AO12" s="312"/>
      <c r="AP12" s="312"/>
      <c r="AQ12" s="312"/>
      <c r="AR12" s="312"/>
      <c r="AS12" s="312"/>
      <c r="AT12" s="312"/>
      <c r="AU12" s="312">
        <v>85000000</v>
      </c>
      <c r="AV12" s="312"/>
      <c r="AW12" s="312"/>
      <c r="AX12" s="306">
        <f t="shared" si="0"/>
        <v>85000000</v>
      </c>
      <c r="AY12" s="313"/>
      <c r="AZ12" s="313"/>
      <c r="BA12" s="313"/>
    </row>
    <row r="13" spans="1:53" s="300" customFormat="1">
      <c r="A13" s="309">
        <v>46088</v>
      </c>
      <c r="B13" s="311" t="s">
        <v>73</v>
      </c>
      <c r="C13" s="311">
        <v>7423</v>
      </c>
      <c r="D13" s="311">
        <v>11474</v>
      </c>
      <c r="E13" s="312">
        <v>3000000</v>
      </c>
      <c r="F13" s="312"/>
      <c r="G13" s="312"/>
      <c r="H13" s="312"/>
      <c r="I13" s="312"/>
      <c r="J13" s="312"/>
      <c r="K13" s="312"/>
      <c r="L13" s="312"/>
      <c r="M13" s="312"/>
      <c r="N13" s="312"/>
      <c r="O13" s="312">
        <v>3000000</v>
      </c>
      <c r="P13" s="312"/>
      <c r="Q13" s="312"/>
      <c r="R13" s="312"/>
      <c r="S13" s="312"/>
      <c r="T13" s="312"/>
      <c r="U13" s="312"/>
      <c r="V13" s="312"/>
      <c r="W13" s="312"/>
      <c r="X13" s="312"/>
      <c r="Y13" s="312"/>
      <c r="Z13" s="312"/>
      <c r="AA13" s="312"/>
      <c r="AB13" s="312"/>
      <c r="AC13" s="312"/>
      <c r="AD13" s="312"/>
      <c r="AE13" s="312"/>
      <c r="AF13" s="312"/>
      <c r="AG13" s="312"/>
      <c r="AH13" s="312"/>
      <c r="AI13" s="312"/>
      <c r="AJ13" s="312"/>
      <c r="AK13" s="312"/>
      <c r="AL13" s="312"/>
      <c r="AM13" s="312"/>
      <c r="AN13" s="312"/>
      <c r="AO13" s="312"/>
      <c r="AP13" s="312"/>
      <c r="AQ13" s="312"/>
      <c r="AR13" s="312"/>
      <c r="AS13" s="312"/>
      <c r="AT13" s="312"/>
      <c r="AU13" s="312"/>
      <c r="AV13" s="312"/>
      <c r="AW13" s="312"/>
      <c r="AX13" s="306">
        <f t="shared" si="0"/>
        <v>3000000</v>
      </c>
      <c r="AY13" s="313"/>
      <c r="AZ13" s="313"/>
      <c r="BA13" s="313"/>
    </row>
    <row r="14" spans="1:53" s="300" customFormat="1">
      <c r="A14" s="309">
        <v>46088</v>
      </c>
      <c r="B14" s="311" t="s">
        <v>85</v>
      </c>
      <c r="C14" s="311">
        <v>7418</v>
      </c>
      <c r="D14" s="311"/>
      <c r="E14" s="312">
        <v>10714280</v>
      </c>
      <c r="F14" s="312"/>
      <c r="G14" s="312"/>
      <c r="H14" s="312"/>
      <c r="I14" s="312"/>
      <c r="J14" s="312"/>
      <c r="K14" s="312"/>
      <c r="L14" s="312"/>
      <c r="M14" s="312"/>
      <c r="N14" s="312"/>
      <c r="O14" s="312"/>
      <c r="P14" s="312"/>
      <c r="Q14" s="312"/>
      <c r="R14" s="312"/>
      <c r="S14" s="312"/>
      <c r="T14" s="312"/>
      <c r="U14" s="312"/>
      <c r="V14" s="312"/>
      <c r="W14" s="312"/>
      <c r="X14" s="312"/>
      <c r="Y14" s="312"/>
      <c r="Z14" s="312"/>
      <c r="AA14" s="312"/>
      <c r="AB14" s="312"/>
      <c r="AC14" s="312"/>
      <c r="AD14" s="312"/>
      <c r="AE14" s="312"/>
      <c r="AF14" s="312"/>
      <c r="AG14" s="312"/>
      <c r="AH14" s="312"/>
      <c r="AI14" s="312"/>
      <c r="AJ14" s="312"/>
      <c r="AK14" s="312"/>
      <c r="AL14" s="312"/>
      <c r="AM14" s="312"/>
      <c r="AN14" s="312"/>
      <c r="AO14" s="312"/>
      <c r="AP14" s="312"/>
      <c r="AQ14" s="312"/>
      <c r="AR14" s="312"/>
      <c r="AS14" s="312"/>
      <c r="AT14" s="312"/>
      <c r="AU14" s="312">
        <v>10714280</v>
      </c>
      <c r="AV14" s="312"/>
      <c r="AW14" s="312"/>
      <c r="AX14" s="306">
        <f t="shared" si="0"/>
        <v>10714280</v>
      </c>
      <c r="AY14" s="313"/>
      <c r="AZ14" s="313"/>
      <c r="BA14" s="313"/>
    </row>
    <row r="15" spans="1:53" s="300" customFormat="1">
      <c r="A15" s="309">
        <v>46088</v>
      </c>
      <c r="B15" s="311" t="s">
        <v>86</v>
      </c>
      <c r="C15" s="311">
        <v>7421</v>
      </c>
      <c r="D15" s="311"/>
      <c r="E15" s="312">
        <v>30000000</v>
      </c>
      <c r="F15" s="312"/>
      <c r="G15" s="312"/>
      <c r="H15" s="312"/>
      <c r="I15" s="312"/>
      <c r="J15" s="312"/>
      <c r="K15" s="312"/>
      <c r="L15" s="312"/>
      <c r="M15" s="312"/>
      <c r="N15" s="312"/>
      <c r="O15" s="312"/>
      <c r="P15" s="312"/>
      <c r="Q15" s="312"/>
      <c r="R15" s="312"/>
      <c r="S15" s="312"/>
      <c r="T15" s="312"/>
      <c r="U15" s="312"/>
      <c r="V15" s="312"/>
      <c r="W15" s="312"/>
      <c r="X15" s="312"/>
      <c r="Y15" s="312"/>
      <c r="Z15" s="312"/>
      <c r="AA15" s="312"/>
      <c r="AB15" s="312"/>
      <c r="AC15" s="312"/>
      <c r="AD15" s="312"/>
      <c r="AE15" s="312"/>
      <c r="AF15" s="312"/>
      <c r="AG15" s="312"/>
      <c r="AH15" s="312"/>
      <c r="AI15" s="312"/>
      <c r="AJ15" s="312"/>
      <c r="AK15" s="312"/>
      <c r="AL15" s="312"/>
      <c r="AM15" s="312"/>
      <c r="AN15" s="312"/>
      <c r="AO15" s="312"/>
      <c r="AP15" s="312"/>
      <c r="AQ15" s="312"/>
      <c r="AR15" s="312"/>
      <c r="AS15" s="312"/>
      <c r="AT15" s="312"/>
      <c r="AU15" s="312">
        <v>30000000</v>
      </c>
      <c r="AV15" s="312"/>
      <c r="AW15" s="312"/>
      <c r="AX15" s="306">
        <f t="shared" si="0"/>
        <v>30000000</v>
      </c>
      <c r="AY15" s="313"/>
      <c r="AZ15" s="313"/>
      <c r="BA15" s="313"/>
    </row>
    <row r="16" spans="1:53" s="300" customFormat="1">
      <c r="A16" s="309">
        <v>46088</v>
      </c>
      <c r="B16" s="311" t="s">
        <v>87</v>
      </c>
      <c r="C16" s="311">
        <v>7413</v>
      </c>
      <c r="D16" s="311"/>
      <c r="E16" s="312">
        <v>10714280</v>
      </c>
      <c r="F16" s="312"/>
      <c r="G16" s="312"/>
      <c r="H16" s="312"/>
      <c r="I16" s="312"/>
      <c r="J16" s="312"/>
      <c r="K16" s="312"/>
      <c r="L16" s="312"/>
      <c r="M16" s="312"/>
      <c r="N16" s="312"/>
      <c r="O16" s="312"/>
      <c r="P16" s="312"/>
      <c r="Q16" s="312"/>
      <c r="R16" s="312"/>
      <c r="S16" s="312"/>
      <c r="T16" s="312"/>
      <c r="U16" s="312"/>
      <c r="V16" s="312"/>
      <c r="W16" s="312"/>
      <c r="X16" s="312"/>
      <c r="Y16" s="312"/>
      <c r="Z16" s="312"/>
      <c r="AA16" s="312"/>
      <c r="AB16" s="312"/>
      <c r="AC16" s="312"/>
      <c r="AD16" s="312"/>
      <c r="AE16" s="312"/>
      <c r="AF16" s="312"/>
      <c r="AG16" s="312"/>
      <c r="AH16" s="312"/>
      <c r="AI16" s="312"/>
      <c r="AJ16" s="312"/>
      <c r="AK16" s="312"/>
      <c r="AL16" s="312"/>
      <c r="AM16" s="312"/>
      <c r="AN16" s="312"/>
      <c r="AO16" s="312"/>
      <c r="AP16" s="312"/>
      <c r="AQ16" s="312"/>
      <c r="AR16" s="312"/>
      <c r="AS16" s="312"/>
      <c r="AT16" s="312"/>
      <c r="AU16" s="312">
        <v>10714280</v>
      </c>
      <c r="AV16" s="312"/>
      <c r="AW16" s="312"/>
      <c r="AX16" s="306">
        <f t="shared" si="0"/>
        <v>10714280</v>
      </c>
      <c r="AY16" s="313"/>
      <c r="AZ16" s="313"/>
      <c r="BA16" s="313"/>
    </row>
    <row r="17" spans="1:53" s="300" customFormat="1">
      <c r="A17" s="309">
        <v>46088</v>
      </c>
      <c r="B17" s="311" t="s">
        <v>86</v>
      </c>
      <c r="C17" s="311">
        <v>7417</v>
      </c>
      <c r="D17" s="311"/>
      <c r="E17" s="312">
        <v>50000000</v>
      </c>
      <c r="F17" s="312"/>
      <c r="G17" s="312"/>
      <c r="H17" s="312"/>
      <c r="I17" s="312"/>
      <c r="J17" s="312"/>
      <c r="K17" s="312"/>
      <c r="L17" s="312"/>
      <c r="M17" s="312"/>
      <c r="N17" s="312"/>
      <c r="O17" s="312"/>
      <c r="P17" s="312"/>
      <c r="Q17" s="312"/>
      <c r="R17" s="312"/>
      <c r="S17" s="312"/>
      <c r="T17" s="312"/>
      <c r="U17" s="312"/>
      <c r="V17" s="312"/>
      <c r="W17" s="312"/>
      <c r="X17" s="312"/>
      <c r="Y17" s="312"/>
      <c r="Z17" s="312"/>
      <c r="AA17" s="312"/>
      <c r="AB17" s="312"/>
      <c r="AC17" s="312"/>
      <c r="AD17" s="312"/>
      <c r="AE17" s="312"/>
      <c r="AF17" s="312"/>
      <c r="AG17" s="312"/>
      <c r="AH17" s="312"/>
      <c r="AI17" s="312"/>
      <c r="AJ17" s="312"/>
      <c r="AK17" s="312"/>
      <c r="AL17" s="312"/>
      <c r="AM17" s="312"/>
      <c r="AN17" s="312"/>
      <c r="AO17" s="312"/>
      <c r="AP17" s="312"/>
      <c r="AQ17" s="312"/>
      <c r="AR17" s="312"/>
      <c r="AS17" s="312"/>
      <c r="AT17" s="312"/>
      <c r="AU17" s="312">
        <v>50000000</v>
      </c>
      <c r="AV17" s="312"/>
      <c r="AW17" s="312"/>
      <c r="AX17" s="306">
        <f t="shared" si="0"/>
        <v>50000000</v>
      </c>
      <c r="AY17" s="313"/>
      <c r="AZ17" s="313"/>
      <c r="BA17" s="313"/>
    </row>
    <row r="18" spans="1:53" s="300" customFormat="1">
      <c r="A18" s="309">
        <v>46088</v>
      </c>
      <c r="B18" s="311" t="s">
        <v>87</v>
      </c>
      <c r="C18" s="311">
        <v>7420</v>
      </c>
      <c r="D18" s="311"/>
      <c r="E18" s="312">
        <v>53571400</v>
      </c>
      <c r="F18" s="312"/>
      <c r="G18" s="312"/>
      <c r="H18" s="312"/>
      <c r="I18" s="312"/>
      <c r="J18" s="312"/>
      <c r="K18" s="312"/>
      <c r="L18" s="312"/>
      <c r="M18" s="312"/>
      <c r="N18" s="312"/>
      <c r="O18" s="312"/>
      <c r="P18" s="312"/>
      <c r="Q18" s="312"/>
      <c r="R18" s="312"/>
      <c r="S18" s="312"/>
      <c r="T18" s="312"/>
      <c r="U18" s="312"/>
      <c r="V18" s="312"/>
      <c r="W18" s="312"/>
      <c r="X18" s="312"/>
      <c r="Y18" s="312"/>
      <c r="Z18" s="312"/>
      <c r="AA18" s="312"/>
      <c r="AB18" s="312"/>
      <c r="AC18" s="312"/>
      <c r="AD18" s="312"/>
      <c r="AE18" s="312"/>
      <c r="AF18" s="312"/>
      <c r="AG18" s="312"/>
      <c r="AH18" s="312"/>
      <c r="AI18" s="312"/>
      <c r="AJ18" s="312"/>
      <c r="AK18" s="312"/>
      <c r="AL18" s="312"/>
      <c r="AM18" s="312"/>
      <c r="AN18" s="312"/>
      <c r="AO18" s="312"/>
      <c r="AP18" s="312"/>
      <c r="AQ18" s="312"/>
      <c r="AR18" s="312"/>
      <c r="AS18" s="312"/>
      <c r="AT18" s="312"/>
      <c r="AU18" s="312">
        <v>53571400</v>
      </c>
      <c r="AV18" s="312"/>
      <c r="AW18" s="312"/>
      <c r="AX18" s="306">
        <f t="shared" si="0"/>
        <v>53571400</v>
      </c>
      <c r="AY18" s="313"/>
      <c r="AZ18" s="313"/>
      <c r="BA18" s="313"/>
    </row>
    <row r="19" spans="1:53" s="300" customFormat="1">
      <c r="A19" s="309">
        <v>46088</v>
      </c>
      <c r="B19" s="311"/>
      <c r="C19" s="311"/>
      <c r="D19" s="311"/>
      <c r="E19" s="312"/>
      <c r="F19" s="312"/>
      <c r="G19" s="312"/>
      <c r="H19" s="312"/>
      <c r="I19" s="312"/>
      <c r="J19" s="312"/>
      <c r="K19" s="312"/>
      <c r="L19" s="312"/>
      <c r="M19" s="312"/>
      <c r="N19" s="312"/>
      <c r="O19" s="312"/>
      <c r="P19" s="312"/>
      <c r="Q19" s="312"/>
      <c r="R19" s="312"/>
      <c r="S19" s="312"/>
      <c r="T19" s="312"/>
      <c r="U19" s="312"/>
      <c r="V19" s="312"/>
      <c r="W19" s="312"/>
      <c r="X19" s="312"/>
      <c r="Y19" s="312"/>
      <c r="Z19" s="312"/>
      <c r="AA19" s="312"/>
      <c r="AB19" s="312"/>
      <c r="AC19" s="312"/>
      <c r="AD19" s="312"/>
      <c r="AE19" s="312"/>
      <c r="AF19" s="312"/>
      <c r="AG19" s="312"/>
      <c r="AH19" s="312"/>
      <c r="AI19" s="312"/>
      <c r="AJ19" s="312"/>
      <c r="AK19" s="312"/>
      <c r="AL19" s="312"/>
      <c r="AM19" s="312"/>
      <c r="AN19" s="312"/>
      <c r="AO19" s="312"/>
      <c r="AP19" s="312"/>
      <c r="AQ19" s="312"/>
      <c r="AR19" s="312"/>
      <c r="AS19" s="312"/>
      <c r="AT19" s="312"/>
      <c r="AU19" s="312"/>
      <c r="AV19" s="312"/>
      <c r="AW19" s="312"/>
      <c r="AX19" s="306">
        <f t="shared" si="0"/>
        <v>0</v>
      </c>
      <c r="AY19" s="313"/>
      <c r="AZ19" s="313"/>
      <c r="BA19" s="313"/>
    </row>
    <row r="20" spans="1:53" s="300" customFormat="1">
      <c r="A20" s="309">
        <v>46088</v>
      </c>
      <c r="B20" s="311" t="s">
        <v>88</v>
      </c>
      <c r="C20" s="311">
        <v>7425</v>
      </c>
      <c r="D20" s="311">
        <v>10564</v>
      </c>
      <c r="E20" s="312">
        <v>1100000</v>
      </c>
      <c r="F20" s="312"/>
      <c r="G20" s="312">
        <v>1100000</v>
      </c>
      <c r="H20" s="312"/>
      <c r="I20" s="312"/>
      <c r="J20" s="312"/>
      <c r="K20" s="312"/>
      <c r="L20" s="312"/>
      <c r="M20" s="312"/>
      <c r="N20" s="312"/>
      <c r="O20" s="312"/>
      <c r="P20" s="312"/>
      <c r="Q20" s="312"/>
      <c r="R20" s="312"/>
      <c r="S20" s="312"/>
      <c r="T20" s="312"/>
      <c r="U20" s="312"/>
      <c r="V20" s="312"/>
      <c r="W20" s="312"/>
      <c r="X20" s="312"/>
      <c r="Y20" s="312"/>
      <c r="Z20" s="312"/>
      <c r="AA20" s="312"/>
      <c r="AB20" s="312"/>
      <c r="AC20" s="312"/>
      <c r="AD20" s="312"/>
      <c r="AE20" s="312"/>
      <c r="AF20" s="312"/>
      <c r="AG20" s="312"/>
      <c r="AH20" s="312"/>
      <c r="AI20" s="312"/>
      <c r="AJ20" s="312"/>
      <c r="AK20" s="312"/>
      <c r="AL20" s="312"/>
      <c r="AM20" s="312"/>
      <c r="AN20" s="312"/>
      <c r="AO20" s="312"/>
      <c r="AP20" s="312"/>
      <c r="AQ20" s="312"/>
      <c r="AR20" s="312"/>
      <c r="AS20" s="312"/>
      <c r="AT20" s="312"/>
      <c r="AU20" s="312"/>
      <c r="AV20" s="312"/>
      <c r="AW20" s="312"/>
      <c r="AX20" s="306">
        <f t="shared" si="0"/>
        <v>1100000</v>
      </c>
      <c r="AY20" s="313"/>
      <c r="AZ20" s="313"/>
      <c r="BA20" s="313"/>
    </row>
    <row r="21" spans="1:53" s="300" customFormat="1">
      <c r="A21" s="309">
        <v>46088</v>
      </c>
      <c r="B21" s="311" t="s">
        <v>89</v>
      </c>
      <c r="C21" s="311">
        <v>7395</v>
      </c>
      <c r="D21" s="311">
        <v>10514</v>
      </c>
      <c r="E21" s="312">
        <v>2500000</v>
      </c>
      <c r="F21" s="312"/>
      <c r="G21" s="312"/>
      <c r="H21" s="312"/>
      <c r="I21" s="312"/>
      <c r="J21" s="312"/>
      <c r="K21" s="312"/>
      <c r="L21" s="312"/>
      <c r="M21" s="312"/>
      <c r="N21" s="312"/>
      <c r="O21" s="312"/>
      <c r="P21" s="312">
        <v>2500000</v>
      </c>
      <c r="Q21" s="312"/>
      <c r="R21" s="312"/>
      <c r="S21" s="312"/>
      <c r="T21" s="312"/>
      <c r="U21" s="312"/>
      <c r="V21" s="312"/>
      <c r="W21" s="312"/>
      <c r="X21" s="312"/>
      <c r="Y21" s="312"/>
      <c r="Z21" s="312"/>
      <c r="AA21" s="312"/>
      <c r="AB21" s="312"/>
      <c r="AC21" s="312"/>
      <c r="AD21" s="312"/>
      <c r="AE21" s="312"/>
      <c r="AF21" s="312"/>
      <c r="AG21" s="312"/>
      <c r="AH21" s="312"/>
      <c r="AI21" s="312"/>
      <c r="AJ21" s="312"/>
      <c r="AK21" s="312"/>
      <c r="AL21" s="312"/>
      <c r="AM21" s="312"/>
      <c r="AN21" s="312"/>
      <c r="AO21" s="312"/>
      <c r="AP21" s="312"/>
      <c r="AQ21" s="312"/>
      <c r="AR21" s="312"/>
      <c r="AS21" s="312"/>
      <c r="AT21" s="312"/>
      <c r="AU21" s="312"/>
      <c r="AV21" s="312"/>
      <c r="AW21" s="312"/>
      <c r="AX21" s="306">
        <f t="shared" si="0"/>
        <v>2500000</v>
      </c>
      <c r="AY21" s="313"/>
      <c r="AZ21" s="313"/>
      <c r="BA21" s="313"/>
    </row>
    <row r="22" spans="1:53" s="300" customFormat="1" ht="30">
      <c r="A22" s="309">
        <v>46063</v>
      </c>
      <c r="B22" s="310" t="s">
        <v>90</v>
      </c>
      <c r="C22" s="311">
        <v>7419</v>
      </c>
      <c r="D22" s="311"/>
      <c r="E22" s="312">
        <v>10000000</v>
      </c>
      <c r="F22" s="312"/>
      <c r="G22" s="312"/>
      <c r="H22" s="312"/>
      <c r="I22" s="312"/>
      <c r="J22" s="312"/>
      <c r="K22" s="312"/>
      <c r="L22" s="312"/>
      <c r="M22" s="312"/>
      <c r="N22" s="312"/>
      <c r="O22" s="312"/>
      <c r="P22" s="312"/>
      <c r="Q22" s="312"/>
      <c r="R22" s="312"/>
      <c r="S22" s="312"/>
      <c r="T22" s="312"/>
      <c r="U22" s="312"/>
      <c r="V22" s="312"/>
      <c r="W22" s="312"/>
      <c r="X22" s="312"/>
      <c r="Y22" s="312"/>
      <c r="Z22" s="312"/>
      <c r="AA22" s="312"/>
      <c r="AB22" s="312"/>
      <c r="AC22" s="312"/>
      <c r="AD22" s="312"/>
      <c r="AE22" s="312"/>
      <c r="AF22" s="312"/>
      <c r="AG22" s="312"/>
      <c r="AH22" s="312"/>
      <c r="AI22" s="312"/>
      <c r="AJ22" s="312"/>
      <c r="AK22" s="312"/>
      <c r="AL22" s="312"/>
      <c r="AM22" s="312"/>
      <c r="AN22" s="312"/>
      <c r="AO22" s="312"/>
      <c r="AP22" s="312"/>
      <c r="AQ22" s="312"/>
      <c r="AR22" s="312"/>
      <c r="AS22" s="312"/>
      <c r="AT22" s="312"/>
      <c r="AU22" s="312">
        <v>10000000</v>
      </c>
      <c r="AV22" s="312"/>
      <c r="AW22" s="312"/>
      <c r="AX22" s="306">
        <f t="shared" si="0"/>
        <v>10000000</v>
      </c>
      <c r="AY22" s="313"/>
      <c r="AZ22" s="313"/>
      <c r="BA22" s="313"/>
    </row>
    <row r="23" spans="1:53" s="300" customFormat="1" ht="30">
      <c r="A23" s="309">
        <v>46065</v>
      </c>
      <c r="B23" s="310" t="s">
        <v>90</v>
      </c>
      <c r="C23" s="311">
        <v>7412</v>
      </c>
      <c r="D23" s="311"/>
      <c r="E23" s="312">
        <v>150000000</v>
      </c>
      <c r="F23" s="312"/>
      <c r="G23" s="312"/>
      <c r="H23" s="312"/>
      <c r="I23" s="312"/>
      <c r="J23" s="312"/>
      <c r="K23" s="312"/>
      <c r="L23" s="312"/>
      <c r="M23" s="312"/>
      <c r="N23" s="312"/>
      <c r="O23" s="312"/>
      <c r="P23" s="312"/>
      <c r="Q23" s="312"/>
      <c r="R23" s="312"/>
      <c r="S23" s="312"/>
      <c r="T23" s="312"/>
      <c r="U23" s="312"/>
      <c r="V23" s="312"/>
      <c r="W23" s="312"/>
      <c r="X23" s="312"/>
      <c r="Y23" s="312"/>
      <c r="Z23" s="312"/>
      <c r="AA23" s="312"/>
      <c r="AB23" s="312"/>
      <c r="AC23" s="312"/>
      <c r="AD23" s="312"/>
      <c r="AE23" s="312"/>
      <c r="AF23" s="312"/>
      <c r="AG23" s="312"/>
      <c r="AH23" s="312"/>
      <c r="AI23" s="312"/>
      <c r="AJ23" s="312"/>
      <c r="AK23" s="312"/>
      <c r="AL23" s="312"/>
      <c r="AM23" s="312"/>
      <c r="AN23" s="312"/>
      <c r="AO23" s="312"/>
      <c r="AP23" s="312"/>
      <c r="AQ23" s="312"/>
      <c r="AR23" s="312"/>
      <c r="AS23" s="312"/>
      <c r="AT23" s="312"/>
      <c r="AU23" s="312">
        <v>150000000</v>
      </c>
      <c r="AV23" s="312"/>
      <c r="AW23" s="312"/>
      <c r="AX23" s="306">
        <f t="shared" si="0"/>
        <v>150000000</v>
      </c>
      <c r="AY23" s="313"/>
      <c r="AZ23" s="313"/>
      <c r="BA23" s="313"/>
    </row>
    <row r="24" spans="1:53" s="300" customFormat="1">
      <c r="A24" s="309">
        <v>46064</v>
      </c>
      <c r="B24" s="311" t="s">
        <v>91</v>
      </c>
      <c r="C24" s="311">
        <v>7426</v>
      </c>
      <c r="D24" s="311">
        <v>10563</v>
      </c>
      <c r="E24" s="312">
        <v>500000</v>
      </c>
      <c r="F24" s="312"/>
      <c r="G24" s="312"/>
      <c r="H24" s="312"/>
      <c r="I24" s="312"/>
      <c r="J24" s="312"/>
      <c r="K24" s="312"/>
      <c r="L24" s="312"/>
      <c r="M24" s="312"/>
      <c r="N24" s="312"/>
      <c r="O24" s="312">
        <v>500000</v>
      </c>
      <c r="P24" s="312"/>
      <c r="Q24" s="312"/>
      <c r="R24" s="312"/>
      <c r="S24" s="312"/>
      <c r="T24" s="312"/>
      <c r="U24" s="312"/>
      <c r="V24" s="312"/>
      <c r="W24" s="312"/>
      <c r="X24" s="312"/>
      <c r="Y24" s="312"/>
      <c r="Z24" s="312"/>
      <c r="AA24" s="312"/>
      <c r="AB24" s="312"/>
      <c r="AC24" s="312"/>
      <c r="AD24" s="312"/>
      <c r="AE24" s="312"/>
      <c r="AF24" s="312"/>
      <c r="AG24" s="312"/>
      <c r="AH24" s="312"/>
      <c r="AI24" s="312"/>
      <c r="AJ24" s="312"/>
      <c r="AK24" s="312"/>
      <c r="AL24" s="312"/>
      <c r="AM24" s="312"/>
      <c r="AN24" s="312"/>
      <c r="AO24" s="312"/>
      <c r="AP24" s="312"/>
      <c r="AQ24" s="312"/>
      <c r="AR24" s="312"/>
      <c r="AS24" s="312"/>
      <c r="AT24" s="312"/>
      <c r="AU24" s="312"/>
      <c r="AV24" s="312"/>
      <c r="AW24" s="312"/>
      <c r="AX24" s="306">
        <f t="shared" si="0"/>
        <v>500000</v>
      </c>
      <c r="AY24" s="313"/>
      <c r="AZ24" s="313"/>
      <c r="BA24" s="313"/>
    </row>
    <row r="25" spans="1:53" s="300" customFormat="1">
      <c r="A25" s="309">
        <v>46083</v>
      </c>
      <c r="B25" s="311" t="s">
        <v>73</v>
      </c>
      <c r="C25" s="311">
        <v>7383</v>
      </c>
      <c r="D25" s="311">
        <v>11478</v>
      </c>
      <c r="E25" s="312">
        <v>4515000</v>
      </c>
      <c r="F25" s="312"/>
      <c r="G25" s="312"/>
      <c r="H25" s="312"/>
      <c r="I25" s="312"/>
      <c r="J25" s="312">
        <f>2235000+710000+1170000</f>
        <v>4115000</v>
      </c>
      <c r="K25" s="312"/>
      <c r="L25" s="312"/>
      <c r="M25" s="312"/>
      <c r="N25" s="312"/>
      <c r="O25" s="312">
        <v>500000</v>
      </c>
      <c r="P25" s="312"/>
      <c r="Q25" s="312"/>
      <c r="R25" s="312"/>
      <c r="S25" s="312"/>
      <c r="T25" s="312"/>
      <c r="U25" s="312"/>
      <c r="V25" s="312"/>
      <c r="W25" s="312"/>
      <c r="X25" s="312"/>
      <c r="Y25" s="312"/>
      <c r="Z25" s="312"/>
      <c r="AA25" s="312"/>
      <c r="AB25" s="312"/>
      <c r="AC25" s="312"/>
      <c r="AD25" s="312"/>
      <c r="AE25" s="312"/>
      <c r="AF25" s="312"/>
      <c r="AG25" s="312"/>
      <c r="AH25" s="312"/>
      <c r="AI25" s="312"/>
      <c r="AJ25" s="312"/>
      <c r="AK25" s="312"/>
      <c r="AL25" s="312"/>
      <c r="AM25" s="312"/>
      <c r="AN25" s="312"/>
      <c r="AO25" s="312"/>
      <c r="AP25" s="312"/>
      <c r="AQ25" s="312"/>
      <c r="AR25" s="312"/>
      <c r="AS25" s="312"/>
      <c r="AT25" s="312">
        <v>49500000</v>
      </c>
      <c r="AU25" s="312"/>
      <c r="AV25" s="312"/>
      <c r="AW25" s="312"/>
      <c r="AX25" s="306">
        <f t="shared" si="0"/>
        <v>54115000</v>
      </c>
      <c r="AY25" s="313"/>
      <c r="AZ25" s="313"/>
      <c r="BA25" s="313"/>
    </row>
    <row r="26" spans="1:53" s="300" customFormat="1">
      <c r="A26" s="309">
        <v>46060</v>
      </c>
      <c r="B26" s="311" t="s">
        <v>92</v>
      </c>
      <c r="C26" s="311">
        <v>7387</v>
      </c>
      <c r="D26" s="311">
        <v>11419</v>
      </c>
      <c r="E26" s="312">
        <v>200000</v>
      </c>
      <c r="F26" s="312"/>
      <c r="G26" s="312">
        <v>200000</v>
      </c>
      <c r="H26" s="312"/>
      <c r="I26" s="312"/>
      <c r="J26" s="312"/>
      <c r="K26" s="312"/>
      <c r="L26" s="312"/>
      <c r="M26" s="312"/>
      <c r="N26" s="312"/>
      <c r="O26" s="312"/>
      <c r="P26" s="312"/>
      <c r="Q26" s="312"/>
      <c r="R26" s="312"/>
      <c r="S26" s="312"/>
      <c r="T26" s="312"/>
      <c r="U26" s="312"/>
      <c r="V26" s="312"/>
      <c r="W26" s="312"/>
      <c r="X26" s="312"/>
      <c r="Y26" s="312"/>
      <c r="Z26" s="312"/>
      <c r="AA26" s="312"/>
      <c r="AB26" s="312"/>
      <c r="AC26" s="312"/>
      <c r="AD26" s="312"/>
      <c r="AE26" s="312"/>
      <c r="AF26" s="312"/>
      <c r="AG26" s="312"/>
      <c r="AH26" s="312"/>
      <c r="AI26" s="312"/>
      <c r="AJ26" s="312"/>
      <c r="AK26" s="312"/>
      <c r="AL26" s="312"/>
      <c r="AM26" s="312"/>
      <c r="AN26" s="312"/>
      <c r="AO26" s="312"/>
      <c r="AP26" s="312"/>
      <c r="AQ26" s="312"/>
      <c r="AR26" s="312"/>
      <c r="AS26" s="312"/>
      <c r="AT26" s="312"/>
      <c r="AU26" s="312"/>
      <c r="AV26" s="312"/>
      <c r="AW26" s="312"/>
      <c r="AX26" s="306">
        <f t="shared" si="0"/>
        <v>200000</v>
      </c>
      <c r="AY26" s="313"/>
      <c r="AZ26" s="313"/>
      <c r="BA26" s="313"/>
    </row>
    <row r="27" spans="1:53" s="300" customFormat="1">
      <c r="A27" s="309">
        <v>45700</v>
      </c>
      <c r="B27" s="311" t="s">
        <v>93</v>
      </c>
      <c r="C27" s="311">
        <v>7387</v>
      </c>
      <c r="D27" s="311">
        <v>11194</v>
      </c>
      <c r="E27" s="312">
        <v>1050000</v>
      </c>
      <c r="F27" s="312"/>
      <c r="G27" s="312"/>
      <c r="H27" s="312"/>
      <c r="I27" s="312"/>
      <c r="J27" s="312"/>
      <c r="K27" s="312"/>
      <c r="L27" s="312"/>
      <c r="M27" s="312"/>
      <c r="N27" s="312"/>
      <c r="O27" s="312"/>
      <c r="P27" s="312"/>
      <c r="Q27" s="312">
        <v>1050000</v>
      </c>
      <c r="R27" s="312"/>
      <c r="S27" s="312"/>
      <c r="T27" s="312"/>
      <c r="U27" s="312"/>
      <c r="V27" s="312"/>
      <c r="W27" s="312"/>
      <c r="X27" s="312"/>
      <c r="Y27" s="312"/>
      <c r="Z27" s="312"/>
      <c r="AA27" s="312"/>
      <c r="AB27" s="312"/>
      <c r="AC27" s="312"/>
      <c r="AD27" s="312"/>
      <c r="AE27" s="312"/>
      <c r="AF27" s="312"/>
      <c r="AG27" s="312"/>
      <c r="AH27" s="312"/>
      <c r="AI27" s="312"/>
      <c r="AJ27" s="312"/>
      <c r="AK27" s="312"/>
      <c r="AL27" s="312"/>
      <c r="AM27" s="312"/>
      <c r="AN27" s="312"/>
      <c r="AO27" s="312"/>
      <c r="AP27" s="312"/>
      <c r="AQ27" s="312"/>
      <c r="AR27" s="312"/>
      <c r="AS27" s="312"/>
      <c r="AT27" s="312"/>
      <c r="AU27" s="312"/>
      <c r="AV27" s="312"/>
      <c r="AW27" s="312"/>
      <c r="AX27" s="306">
        <f t="shared" si="0"/>
        <v>1050000</v>
      </c>
      <c r="AY27" s="313"/>
      <c r="AZ27" s="313"/>
      <c r="BA27" s="313"/>
    </row>
    <row r="28" spans="1:53" s="300" customFormat="1">
      <c r="A28" s="309">
        <v>46062</v>
      </c>
      <c r="B28" s="311" t="s">
        <v>94</v>
      </c>
      <c r="C28" s="311">
        <v>7427</v>
      </c>
      <c r="D28" s="311">
        <v>11476</v>
      </c>
      <c r="E28" s="312">
        <v>102398224</v>
      </c>
      <c r="F28" s="312"/>
      <c r="G28" s="312"/>
      <c r="H28" s="312"/>
      <c r="I28" s="312"/>
      <c r="J28" s="312"/>
      <c r="K28" s="312"/>
      <c r="L28" s="312"/>
      <c r="M28" s="312"/>
      <c r="N28" s="312"/>
      <c r="O28" s="312"/>
      <c r="P28" s="312"/>
      <c r="Q28" s="312"/>
      <c r="R28" s="312">
        <v>102398224</v>
      </c>
      <c r="S28" s="312"/>
      <c r="T28" s="312"/>
      <c r="U28" s="312"/>
      <c r="V28" s="312"/>
      <c r="W28" s="312"/>
      <c r="X28" s="312"/>
      <c r="Y28" s="312"/>
      <c r="Z28" s="312"/>
      <c r="AA28" s="312"/>
      <c r="AB28" s="312"/>
      <c r="AC28" s="312"/>
      <c r="AD28" s="312"/>
      <c r="AE28" s="312"/>
      <c r="AF28" s="312"/>
      <c r="AG28" s="312"/>
      <c r="AH28" s="312"/>
      <c r="AI28" s="312"/>
      <c r="AJ28" s="312"/>
      <c r="AK28" s="312"/>
      <c r="AL28" s="312"/>
      <c r="AM28" s="312"/>
      <c r="AN28" s="312"/>
      <c r="AO28" s="312"/>
      <c r="AP28" s="312"/>
      <c r="AQ28" s="312"/>
      <c r="AR28" s="312"/>
      <c r="AS28" s="312"/>
      <c r="AT28" s="312"/>
      <c r="AU28" s="312"/>
      <c r="AV28" s="312"/>
      <c r="AW28" s="312"/>
      <c r="AX28" s="306">
        <f t="shared" si="0"/>
        <v>102398224</v>
      </c>
      <c r="AY28" s="313"/>
      <c r="AZ28" s="313"/>
      <c r="BA28" s="313"/>
    </row>
    <row r="29" spans="1:53" s="300" customFormat="1">
      <c r="A29" s="311">
        <v>3</v>
      </c>
      <c r="B29" s="311" t="s">
        <v>73</v>
      </c>
      <c r="C29" s="311">
        <v>7398</v>
      </c>
      <c r="D29" s="311">
        <v>11447</v>
      </c>
      <c r="E29" s="312">
        <v>2150000</v>
      </c>
      <c r="F29" s="312"/>
      <c r="G29" s="312"/>
      <c r="H29" s="312"/>
      <c r="I29" s="312"/>
      <c r="J29" s="312"/>
      <c r="K29" s="312"/>
      <c r="L29" s="312"/>
      <c r="M29" s="312"/>
      <c r="N29" s="312"/>
      <c r="O29" s="312"/>
      <c r="P29" s="312"/>
      <c r="Q29" s="312"/>
      <c r="R29" s="312"/>
      <c r="S29" s="312">
        <v>850000</v>
      </c>
      <c r="T29" s="312"/>
      <c r="U29" s="312"/>
      <c r="V29" s="312"/>
      <c r="W29" s="312"/>
      <c r="X29" s="312"/>
      <c r="Y29" s="312"/>
      <c r="Z29" s="312"/>
      <c r="AA29" s="312"/>
      <c r="AB29" s="312"/>
      <c r="AC29" s="312"/>
      <c r="AD29" s="312"/>
      <c r="AE29" s="312"/>
      <c r="AF29" s="312"/>
      <c r="AG29" s="312">
        <v>550000</v>
      </c>
      <c r="AH29" s="312"/>
      <c r="AI29" s="312"/>
      <c r="AJ29" s="312"/>
      <c r="AK29" s="312"/>
      <c r="AL29" s="312"/>
      <c r="AM29" s="312"/>
      <c r="AN29" s="312"/>
      <c r="AO29" s="312"/>
      <c r="AP29" s="312"/>
      <c r="AQ29" s="312"/>
      <c r="AR29" s="312"/>
      <c r="AS29" s="312">
        <v>750000</v>
      </c>
      <c r="AT29" s="312"/>
      <c r="AU29" s="312"/>
      <c r="AV29" s="312"/>
      <c r="AW29" s="312"/>
      <c r="AX29" s="306">
        <f t="shared" si="0"/>
        <v>2150000</v>
      </c>
      <c r="AY29" s="313"/>
      <c r="AZ29" s="313"/>
      <c r="BA29" s="313"/>
    </row>
    <row r="30" spans="1:53" s="300" customFormat="1">
      <c r="A30" s="311">
        <v>6</v>
      </c>
      <c r="B30" s="311" t="s">
        <v>94</v>
      </c>
      <c r="C30" s="311">
        <v>7377</v>
      </c>
      <c r="D30" s="311">
        <v>11407</v>
      </c>
      <c r="E30" s="312">
        <v>4200000</v>
      </c>
      <c r="F30" s="312"/>
      <c r="G30" s="312"/>
      <c r="H30" s="312"/>
      <c r="I30" s="312"/>
      <c r="J30" s="312">
        <v>4200000</v>
      </c>
      <c r="K30" s="312"/>
      <c r="L30" s="312"/>
      <c r="M30" s="312"/>
      <c r="N30" s="312"/>
      <c r="O30" s="312"/>
      <c r="P30" s="312"/>
      <c r="Q30" s="312"/>
      <c r="R30" s="312"/>
      <c r="S30" s="312"/>
      <c r="T30" s="312"/>
      <c r="U30" s="312"/>
      <c r="V30" s="312"/>
      <c r="W30" s="312"/>
      <c r="X30" s="312"/>
      <c r="Y30" s="312"/>
      <c r="Z30" s="312"/>
      <c r="AA30" s="312"/>
      <c r="AB30" s="312"/>
      <c r="AC30" s="312"/>
      <c r="AD30" s="312"/>
      <c r="AE30" s="312"/>
      <c r="AF30" s="312"/>
      <c r="AG30" s="312"/>
      <c r="AH30" s="312"/>
      <c r="AI30" s="312"/>
      <c r="AJ30" s="312"/>
      <c r="AK30" s="312"/>
      <c r="AL30" s="312"/>
      <c r="AM30" s="312"/>
      <c r="AN30" s="312"/>
      <c r="AO30" s="312"/>
      <c r="AP30" s="312"/>
      <c r="AQ30" s="312"/>
      <c r="AR30" s="312"/>
      <c r="AS30" s="312"/>
      <c r="AT30" s="312"/>
      <c r="AU30" s="312"/>
      <c r="AV30" s="312"/>
      <c r="AW30" s="312"/>
      <c r="AX30" s="306">
        <f t="shared" si="0"/>
        <v>4200000</v>
      </c>
      <c r="AY30" s="313"/>
      <c r="AZ30" s="313"/>
      <c r="BA30" s="313"/>
    </row>
    <row r="31" spans="1:53" s="300" customFormat="1" ht="30">
      <c r="A31" s="311">
        <v>11</v>
      </c>
      <c r="B31" s="310" t="s">
        <v>95</v>
      </c>
      <c r="C31" s="311">
        <v>7384</v>
      </c>
      <c r="D31" s="311">
        <v>11410</v>
      </c>
      <c r="E31" s="312">
        <v>290292</v>
      </c>
      <c r="F31" s="312"/>
      <c r="G31" s="312"/>
      <c r="H31" s="312"/>
      <c r="I31" s="312"/>
      <c r="J31" s="312"/>
      <c r="K31" s="312"/>
      <c r="L31" s="312"/>
      <c r="M31" s="312"/>
      <c r="N31" s="312"/>
      <c r="O31" s="312"/>
      <c r="P31" s="312"/>
      <c r="Q31" s="312"/>
      <c r="R31" s="312"/>
      <c r="S31" s="312"/>
      <c r="T31" s="312">
        <v>290292</v>
      </c>
      <c r="U31" s="312"/>
      <c r="V31" s="312"/>
      <c r="W31" s="312"/>
      <c r="X31" s="312"/>
      <c r="Y31" s="312"/>
      <c r="Z31" s="312"/>
      <c r="AA31" s="312"/>
      <c r="AB31" s="312"/>
      <c r="AC31" s="312"/>
      <c r="AD31" s="312"/>
      <c r="AE31" s="312"/>
      <c r="AF31" s="312"/>
      <c r="AG31" s="312"/>
      <c r="AH31" s="312"/>
      <c r="AI31" s="312"/>
      <c r="AJ31" s="312"/>
      <c r="AK31" s="312"/>
      <c r="AL31" s="312"/>
      <c r="AM31" s="312"/>
      <c r="AN31" s="312"/>
      <c r="AO31" s="312"/>
      <c r="AP31" s="312"/>
      <c r="AQ31" s="312"/>
      <c r="AR31" s="312"/>
      <c r="AS31" s="312"/>
      <c r="AT31" s="312"/>
      <c r="AU31" s="312"/>
      <c r="AV31" s="312"/>
      <c r="AW31" s="312"/>
      <c r="AX31" s="306">
        <f t="shared" si="0"/>
        <v>290292</v>
      </c>
      <c r="AY31" s="313"/>
      <c r="AZ31" s="313"/>
      <c r="BA31" s="313"/>
    </row>
    <row r="32" spans="1:53" s="300" customFormat="1">
      <c r="A32" s="311">
        <v>12</v>
      </c>
      <c r="B32" s="311" t="s">
        <v>96</v>
      </c>
      <c r="C32" s="311">
        <v>7455</v>
      </c>
      <c r="D32" s="311">
        <v>10526</v>
      </c>
      <c r="E32" s="312">
        <v>863000</v>
      </c>
      <c r="F32" s="312"/>
      <c r="G32" s="312"/>
      <c r="H32" s="312"/>
      <c r="I32" s="312"/>
      <c r="J32" s="312"/>
      <c r="K32" s="312"/>
      <c r="L32" s="312"/>
      <c r="M32" s="312"/>
      <c r="N32" s="312"/>
      <c r="O32" s="312"/>
      <c r="P32" s="312"/>
      <c r="Q32" s="312"/>
      <c r="R32" s="312"/>
      <c r="S32" s="312"/>
      <c r="T32" s="312"/>
      <c r="U32" s="312">
        <v>863000</v>
      </c>
      <c r="V32" s="312"/>
      <c r="W32" s="312"/>
      <c r="X32" s="312"/>
      <c r="Y32" s="312"/>
      <c r="Z32" s="312"/>
      <c r="AA32" s="312"/>
      <c r="AB32" s="312"/>
      <c r="AC32" s="312"/>
      <c r="AD32" s="312"/>
      <c r="AE32" s="312"/>
      <c r="AF32" s="312"/>
      <c r="AG32" s="312"/>
      <c r="AH32" s="312"/>
      <c r="AI32" s="312"/>
      <c r="AJ32" s="312"/>
      <c r="AK32" s="312"/>
      <c r="AL32" s="312"/>
      <c r="AM32" s="312"/>
      <c r="AN32" s="312"/>
      <c r="AO32" s="312"/>
      <c r="AP32" s="312"/>
      <c r="AQ32" s="312"/>
      <c r="AR32" s="312"/>
      <c r="AS32" s="312"/>
      <c r="AT32" s="312"/>
      <c r="AU32" s="312"/>
      <c r="AV32" s="312"/>
      <c r="AW32" s="312"/>
      <c r="AX32" s="306">
        <f t="shared" si="0"/>
        <v>863000</v>
      </c>
      <c r="AY32" s="313"/>
      <c r="AZ32" s="313"/>
      <c r="BA32" s="313"/>
    </row>
    <row r="33" spans="1:53" s="300" customFormat="1">
      <c r="A33" s="311">
        <v>12</v>
      </c>
      <c r="B33" s="311" t="s">
        <v>97</v>
      </c>
      <c r="C33" s="311">
        <v>7433</v>
      </c>
      <c r="D33" s="311">
        <v>11498</v>
      </c>
      <c r="E33" s="312">
        <v>1800000</v>
      </c>
      <c r="F33" s="312"/>
      <c r="G33" s="312"/>
      <c r="H33" s="312"/>
      <c r="I33" s="312"/>
      <c r="J33" s="312"/>
      <c r="K33" s="312"/>
      <c r="L33" s="312"/>
      <c r="M33" s="312"/>
      <c r="N33" s="312"/>
      <c r="O33" s="312"/>
      <c r="P33" s="312"/>
      <c r="Q33" s="312"/>
      <c r="R33" s="312"/>
      <c r="S33" s="312">
        <v>1800000</v>
      </c>
      <c r="T33" s="312"/>
      <c r="U33" s="312"/>
      <c r="V33" s="312"/>
      <c r="W33" s="312"/>
      <c r="X33" s="312"/>
      <c r="Y33" s="312"/>
      <c r="Z33" s="312"/>
      <c r="AA33" s="312"/>
      <c r="AB33" s="312"/>
      <c r="AC33" s="312"/>
      <c r="AD33" s="312"/>
      <c r="AE33" s="312"/>
      <c r="AF33" s="312"/>
      <c r="AG33" s="312"/>
      <c r="AH33" s="312"/>
      <c r="AI33" s="312"/>
      <c r="AJ33" s="312"/>
      <c r="AK33" s="312"/>
      <c r="AL33" s="312"/>
      <c r="AM33" s="312"/>
      <c r="AN33" s="312"/>
      <c r="AO33" s="312"/>
      <c r="AP33" s="312"/>
      <c r="AQ33" s="312"/>
      <c r="AR33" s="312"/>
      <c r="AS33" s="312"/>
      <c r="AT33" s="312"/>
      <c r="AU33" s="312"/>
      <c r="AV33" s="312"/>
      <c r="AW33" s="312"/>
      <c r="AX33" s="306">
        <f t="shared" si="0"/>
        <v>1800000</v>
      </c>
      <c r="AY33" s="313"/>
      <c r="AZ33" s="313"/>
      <c r="BA33" s="313"/>
    </row>
    <row r="34" spans="1:53" s="300" customFormat="1">
      <c r="A34" s="311">
        <v>12</v>
      </c>
      <c r="B34" s="311" t="s">
        <v>98</v>
      </c>
      <c r="C34" s="311">
        <v>7434</v>
      </c>
      <c r="D34" s="311">
        <v>11497</v>
      </c>
      <c r="E34" s="312">
        <v>600000</v>
      </c>
      <c r="F34" s="312"/>
      <c r="G34" s="312"/>
      <c r="H34" s="312"/>
      <c r="I34" s="312"/>
      <c r="J34" s="312"/>
      <c r="K34" s="312"/>
      <c r="L34" s="312"/>
      <c r="M34" s="312"/>
      <c r="N34" s="312"/>
      <c r="O34" s="312"/>
      <c r="P34" s="312"/>
      <c r="Q34" s="312"/>
      <c r="R34" s="312"/>
      <c r="S34" s="312">
        <v>600000</v>
      </c>
      <c r="T34" s="312"/>
      <c r="U34" s="312"/>
      <c r="V34" s="312"/>
      <c r="W34" s="312"/>
      <c r="X34" s="312"/>
      <c r="Y34" s="312"/>
      <c r="Z34" s="312"/>
      <c r="AA34" s="312"/>
      <c r="AB34" s="312"/>
      <c r="AC34" s="312"/>
      <c r="AD34" s="312"/>
      <c r="AE34" s="312"/>
      <c r="AF34" s="312"/>
      <c r="AG34" s="312"/>
      <c r="AH34" s="312"/>
      <c r="AI34" s="312"/>
      <c r="AJ34" s="312"/>
      <c r="AK34" s="312"/>
      <c r="AL34" s="312"/>
      <c r="AM34" s="312"/>
      <c r="AN34" s="312"/>
      <c r="AO34" s="312"/>
      <c r="AP34" s="312"/>
      <c r="AQ34" s="312"/>
      <c r="AR34" s="312"/>
      <c r="AS34" s="312"/>
      <c r="AT34" s="312"/>
      <c r="AU34" s="312"/>
      <c r="AV34" s="312"/>
      <c r="AW34" s="312"/>
      <c r="AX34" s="306">
        <f t="shared" si="0"/>
        <v>600000</v>
      </c>
      <c r="AY34" s="313"/>
      <c r="AZ34" s="313"/>
      <c r="BA34" s="313"/>
    </row>
    <row r="35" spans="1:53" s="300" customFormat="1">
      <c r="A35" s="311">
        <v>13</v>
      </c>
      <c r="B35" s="311" t="s">
        <v>99</v>
      </c>
      <c r="C35" s="311">
        <v>7432</v>
      </c>
      <c r="D35" s="311">
        <v>11485</v>
      </c>
      <c r="E35" s="312">
        <v>3200000</v>
      </c>
      <c r="F35" s="312"/>
      <c r="G35" s="312"/>
      <c r="H35" s="312"/>
      <c r="I35" s="312">
        <v>3200000</v>
      </c>
      <c r="J35" s="312"/>
      <c r="K35" s="312"/>
      <c r="L35" s="312"/>
      <c r="M35" s="312"/>
      <c r="N35" s="312"/>
      <c r="O35" s="312"/>
      <c r="P35" s="312"/>
      <c r="Q35" s="312"/>
      <c r="R35" s="312"/>
      <c r="S35" s="312"/>
      <c r="T35" s="312"/>
      <c r="U35" s="312"/>
      <c r="V35" s="312"/>
      <c r="W35" s="312"/>
      <c r="X35" s="312"/>
      <c r="Y35" s="312"/>
      <c r="Z35" s="312"/>
      <c r="AA35" s="312"/>
      <c r="AB35" s="312"/>
      <c r="AC35" s="312"/>
      <c r="AD35" s="312"/>
      <c r="AE35" s="312"/>
      <c r="AF35" s="312"/>
      <c r="AG35" s="312"/>
      <c r="AH35" s="312"/>
      <c r="AI35" s="312"/>
      <c r="AJ35" s="312"/>
      <c r="AK35" s="312"/>
      <c r="AL35" s="312"/>
      <c r="AM35" s="312"/>
      <c r="AN35" s="312"/>
      <c r="AO35" s="312"/>
      <c r="AP35" s="312"/>
      <c r="AQ35" s="312"/>
      <c r="AR35" s="312"/>
      <c r="AS35" s="312"/>
      <c r="AT35" s="312"/>
      <c r="AU35" s="312"/>
      <c r="AV35" s="312"/>
      <c r="AW35" s="312"/>
      <c r="AX35" s="306">
        <f t="shared" ref="AX35:AX56" si="1">F35+G35+H35+I35+J35+K35+L35+M35+N35+O35+P35+Q35+R35+S35+T35+U35+V35+W35+X35+Y35+Z35+AA35+AB35+AC35+AD35+AE35+AF35+AG35+AH35+AI35+AJ35+AK35+AL35+AM35+AN35+AO35+AP35+AQ35+AR35+AS35+AT35+AU35+AW35</f>
        <v>3200000</v>
      </c>
      <c r="AY35" s="313"/>
      <c r="AZ35" s="313"/>
      <c r="BA35" s="313"/>
    </row>
    <row r="36" spans="1:53" s="300" customFormat="1">
      <c r="A36" s="311">
        <v>13</v>
      </c>
      <c r="B36" s="311" t="s">
        <v>100</v>
      </c>
      <c r="C36" s="311">
        <v>7430</v>
      </c>
      <c r="D36" s="311">
        <v>11499</v>
      </c>
      <c r="E36" s="312">
        <v>1400000</v>
      </c>
      <c r="F36" s="312"/>
      <c r="G36" s="312"/>
      <c r="H36" s="312"/>
      <c r="I36" s="312"/>
      <c r="J36" s="312"/>
      <c r="K36" s="312"/>
      <c r="L36" s="312"/>
      <c r="M36" s="312"/>
      <c r="N36" s="312"/>
      <c r="O36" s="312"/>
      <c r="P36" s="312"/>
      <c r="Q36" s="312"/>
      <c r="R36" s="312"/>
      <c r="S36" s="312">
        <v>1400000</v>
      </c>
      <c r="T36" s="312"/>
      <c r="U36" s="312"/>
      <c r="V36" s="312"/>
      <c r="W36" s="312"/>
      <c r="X36" s="312"/>
      <c r="Y36" s="312"/>
      <c r="Z36" s="312"/>
      <c r="AA36" s="312"/>
      <c r="AB36" s="312"/>
      <c r="AC36" s="312"/>
      <c r="AD36" s="312"/>
      <c r="AE36" s="312"/>
      <c r="AF36" s="312"/>
      <c r="AG36" s="312"/>
      <c r="AH36" s="312"/>
      <c r="AI36" s="312"/>
      <c r="AJ36" s="312"/>
      <c r="AK36" s="312"/>
      <c r="AL36" s="312"/>
      <c r="AM36" s="312"/>
      <c r="AN36" s="312"/>
      <c r="AO36" s="312"/>
      <c r="AP36" s="312"/>
      <c r="AQ36" s="312"/>
      <c r="AR36" s="312"/>
      <c r="AS36" s="312"/>
      <c r="AT36" s="312"/>
      <c r="AU36" s="312"/>
      <c r="AV36" s="312"/>
      <c r="AW36" s="312"/>
      <c r="AX36" s="306">
        <f t="shared" si="1"/>
        <v>1400000</v>
      </c>
      <c r="AY36" s="313"/>
      <c r="AZ36" s="313"/>
      <c r="BA36" s="313"/>
    </row>
    <row r="37" spans="1:53" s="300" customFormat="1" ht="30">
      <c r="A37" s="309">
        <v>46070</v>
      </c>
      <c r="B37" s="310" t="s">
        <v>101</v>
      </c>
      <c r="C37" s="311">
        <v>7457</v>
      </c>
      <c r="D37" s="311">
        <v>9501</v>
      </c>
      <c r="E37" s="312">
        <v>6517500</v>
      </c>
      <c r="F37" s="312"/>
      <c r="G37" s="312"/>
      <c r="H37" s="312"/>
      <c r="I37" s="312"/>
      <c r="J37" s="312"/>
      <c r="K37" s="312"/>
      <c r="L37" s="312"/>
      <c r="M37" s="312"/>
      <c r="N37" s="312"/>
      <c r="O37" s="312"/>
      <c r="P37" s="312"/>
      <c r="Q37" s="312"/>
      <c r="R37" s="312"/>
      <c r="S37" s="312"/>
      <c r="T37" s="312"/>
      <c r="U37" s="312"/>
      <c r="V37" s="312"/>
      <c r="W37" s="312"/>
      <c r="X37" s="312">
        <v>6517500</v>
      </c>
      <c r="Y37" s="312"/>
      <c r="Z37" s="312"/>
      <c r="AA37" s="312"/>
      <c r="AB37" s="312"/>
      <c r="AC37" s="312"/>
      <c r="AD37" s="312"/>
      <c r="AE37" s="312"/>
      <c r="AF37" s="312"/>
      <c r="AG37" s="312"/>
      <c r="AH37" s="312"/>
      <c r="AI37" s="312"/>
      <c r="AJ37" s="312"/>
      <c r="AK37" s="312"/>
      <c r="AL37" s="312"/>
      <c r="AM37" s="312"/>
      <c r="AN37" s="312"/>
      <c r="AO37" s="312"/>
      <c r="AP37" s="312"/>
      <c r="AQ37" s="312"/>
      <c r="AR37" s="312"/>
      <c r="AS37" s="312"/>
      <c r="AT37" s="312"/>
      <c r="AU37" s="312"/>
      <c r="AV37" s="312"/>
      <c r="AW37" s="312"/>
      <c r="AX37" s="306">
        <f t="shared" si="1"/>
        <v>6517500</v>
      </c>
      <c r="AY37" s="313"/>
      <c r="AZ37" s="313"/>
      <c r="BA37" s="313"/>
    </row>
    <row r="38" spans="1:53" s="300" customFormat="1">
      <c r="A38" s="309">
        <v>46093</v>
      </c>
      <c r="B38" s="311" t="s">
        <v>92</v>
      </c>
      <c r="C38" s="311">
        <v>7401</v>
      </c>
      <c r="D38" s="311">
        <v>11433</v>
      </c>
      <c r="E38" s="312">
        <v>250000</v>
      </c>
      <c r="F38" s="312"/>
      <c r="G38" s="312"/>
      <c r="H38" s="312"/>
      <c r="I38" s="312"/>
      <c r="J38" s="312">
        <v>250000</v>
      </c>
      <c r="K38" s="312"/>
      <c r="L38" s="312"/>
      <c r="M38" s="312"/>
      <c r="N38" s="312"/>
      <c r="O38" s="312"/>
      <c r="P38" s="312"/>
      <c r="Q38" s="312"/>
      <c r="R38" s="312"/>
      <c r="S38" s="312"/>
      <c r="T38" s="312"/>
      <c r="U38" s="312"/>
      <c r="V38" s="312"/>
      <c r="W38" s="312"/>
      <c r="X38" s="312"/>
      <c r="Y38" s="312"/>
      <c r="Z38" s="312"/>
      <c r="AA38" s="312"/>
      <c r="AB38" s="312"/>
      <c r="AC38" s="312"/>
      <c r="AD38" s="312"/>
      <c r="AE38" s="312"/>
      <c r="AF38" s="312"/>
      <c r="AG38" s="312"/>
      <c r="AH38" s="312"/>
      <c r="AI38" s="312"/>
      <c r="AJ38" s="312"/>
      <c r="AK38" s="312"/>
      <c r="AL38" s="312"/>
      <c r="AM38" s="312"/>
      <c r="AN38" s="312"/>
      <c r="AO38" s="312"/>
      <c r="AP38" s="312"/>
      <c r="AQ38" s="312"/>
      <c r="AR38" s="312"/>
      <c r="AS38" s="312"/>
      <c r="AT38" s="312"/>
      <c r="AU38" s="312"/>
      <c r="AV38" s="312"/>
      <c r="AW38" s="312"/>
      <c r="AX38" s="306">
        <f t="shared" si="1"/>
        <v>250000</v>
      </c>
      <c r="AY38" s="313"/>
      <c r="AZ38" s="313"/>
      <c r="BA38" s="313"/>
    </row>
    <row r="39" spans="1:53" s="300" customFormat="1">
      <c r="A39" s="309">
        <v>46098</v>
      </c>
      <c r="B39" s="311" t="s">
        <v>102</v>
      </c>
      <c r="C39" s="311">
        <v>7462</v>
      </c>
      <c r="D39" s="311">
        <v>9504</v>
      </c>
      <c r="E39" s="312">
        <v>6662000</v>
      </c>
      <c r="F39" s="312"/>
      <c r="G39" s="312"/>
      <c r="H39" s="312"/>
      <c r="I39" s="312"/>
      <c r="J39" s="312"/>
      <c r="K39" s="312"/>
      <c r="L39" s="312"/>
      <c r="M39" s="312"/>
      <c r="N39" s="312"/>
      <c r="O39" s="312"/>
      <c r="P39" s="312"/>
      <c r="Q39" s="312"/>
      <c r="R39" s="312"/>
      <c r="S39" s="312"/>
      <c r="T39" s="312"/>
      <c r="U39" s="312"/>
      <c r="V39" s="312"/>
      <c r="W39" s="312">
        <v>6662000</v>
      </c>
      <c r="X39" s="312"/>
      <c r="Y39" s="312"/>
      <c r="Z39" s="312"/>
      <c r="AA39" s="312"/>
      <c r="AB39" s="312"/>
      <c r="AC39" s="312"/>
      <c r="AD39" s="312"/>
      <c r="AE39" s="312"/>
      <c r="AF39" s="312"/>
      <c r="AG39" s="312"/>
      <c r="AH39" s="312"/>
      <c r="AI39" s="312"/>
      <c r="AJ39" s="312"/>
      <c r="AK39" s="312"/>
      <c r="AL39" s="312"/>
      <c r="AM39" s="312"/>
      <c r="AN39" s="312"/>
      <c r="AO39" s="312"/>
      <c r="AP39" s="312"/>
      <c r="AQ39" s="312"/>
      <c r="AR39" s="312"/>
      <c r="AS39" s="312"/>
      <c r="AT39" s="312"/>
      <c r="AU39" s="312"/>
      <c r="AV39" s="312"/>
      <c r="AW39" s="312"/>
      <c r="AX39" s="306">
        <f t="shared" si="1"/>
        <v>6662000</v>
      </c>
      <c r="AY39" s="313"/>
      <c r="AZ39" s="313"/>
      <c r="BA39" s="313"/>
    </row>
    <row r="40" spans="1:53" s="300" customFormat="1">
      <c r="A40" s="309">
        <v>46073</v>
      </c>
      <c r="B40" s="311" t="s">
        <v>94</v>
      </c>
      <c r="C40" s="311">
        <v>7444</v>
      </c>
      <c r="D40" s="311">
        <v>11494</v>
      </c>
      <c r="E40" s="312">
        <v>4200000</v>
      </c>
      <c r="F40" s="312"/>
      <c r="G40" s="312"/>
      <c r="H40" s="312"/>
      <c r="I40" s="312"/>
      <c r="J40" s="312">
        <v>4200000</v>
      </c>
      <c r="K40" s="312"/>
      <c r="L40" s="312"/>
      <c r="M40" s="312"/>
      <c r="N40" s="312"/>
      <c r="O40" s="312"/>
      <c r="P40" s="312"/>
      <c r="Q40" s="312"/>
      <c r="R40" s="312"/>
      <c r="S40" s="312"/>
      <c r="T40" s="312"/>
      <c r="U40" s="312"/>
      <c r="V40" s="312"/>
      <c r="W40" s="312"/>
      <c r="X40" s="312"/>
      <c r="Y40" s="312"/>
      <c r="Z40" s="312"/>
      <c r="AA40" s="312"/>
      <c r="AB40" s="312"/>
      <c r="AC40" s="312"/>
      <c r="AD40" s="312"/>
      <c r="AE40" s="312"/>
      <c r="AF40" s="312"/>
      <c r="AG40" s="312"/>
      <c r="AH40" s="312"/>
      <c r="AI40" s="312"/>
      <c r="AJ40" s="312"/>
      <c r="AK40" s="312"/>
      <c r="AL40" s="312"/>
      <c r="AM40" s="312"/>
      <c r="AN40" s="312"/>
      <c r="AO40" s="312"/>
      <c r="AP40" s="312"/>
      <c r="AQ40" s="312"/>
      <c r="AR40" s="312"/>
      <c r="AS40" s="312"/>
      <c r="AT40" s="312"/>
      <c r="AU40" s="312"/>
      <c r="AV40" s="312"/>
      <c r="AW40" s="312"/>
      <c r="AX40" s="306">
        <f t="shared" si="1"/>
        <v>4200000</v>
      </c>
      <c r="AY40" s="313"/>
      <c r="AZ40" s="313"/>
      <c r="BA40" s="313"/>
    </row>
    <row r="41" spans="1:53" s="300" customFormat="1">
      <c r="A41" s="309">
        <v>46073</v>
      </c>
      <c r="B41" s="311" t="s">
        <v>94</v>
      </c>
      <c r="C41" s="311">
        <v>7445</v>
      </c>
      <c r="D41" s="311">
        <v>11493</v>
      </c>
      <c r="E41" s="312">
        <v>4200000</v>
      </c>
      <c r="F41" s="312"/>
      <c r="G41" s="312"/>
      <c r="H41" s="312"/>
      <c r="I41" s="312"/>
      <c r="J41" s="312">
        <v>4200000</v>
      </c>
      <c r="K41" s="312"/>
      <c r="L41" s="312"/>
      <c r="M41" s="312"/>
      <c r="N41" s="312"/>
      <c r="O41" s="312"/>
      <c r="P41" s="312"/>
      <c r="Q41" s="312"/>
      <c r="R41" s="312"/>
      <c r="S41" s="312"/>
      <c r="T41" s="312"/>
      <c r="U41" s="312"/>
      <c r="V41" s="312"/>
      <c r="W41" s="312"/>
      <c r="X41" s="312"/>
      <c r="Y41" s="312"/>
      <c r="Z41" s="312"/>
      <c r="AA41" s="312"/>
      <c r="AB41" s="312"/>
      <c r="AC41" s="312"/>
      <c r="AD41" s="312"/>
      <c r="AE41" s="312"/>
      <c r="AF41" s="312"/>
      <c r="AG41" s="312"/>
      <c r="AH41" s="312"/>
      <c r="AI41" s="312"/>
      <c r="AJ41" s="312"/>
      <c r="AK41" s="312"/>
      <c r="AL41" s="312"/>
      <c r="AM41" s="312"/>
      <c r="AN41" s="312"/>
      <c r="AO41" s="312"/>
      <c r="AP41" s="312"/>
      <c r="AQ41" s="312"/>
      <c r="AR41" s="312"/>
      <c r="AS41" s="312"/>
      <c r="AT41" s="312"/>
      <c r="AU41" s="312"/>
      <c r="AV41" s="312"/>
      <c r="AW41" s="312"/>
      <c r="AX41" s="306">
        <f t="shared" si="1"/>
        <v>4200000</v>
      </c>
      <c r="AY41" s="313"/>
      <c r="AZ41" s="313"/>
      <c r="BA41" s="313"/>
    </row>
    <row r="42" spans="1:53" s="300" customFormat="1" ht="30">
      <c r="A42" s="309">
        <v>46073</v>
      </c>
      <c r="B42" s="310" t="s">
        <v>103</v>
      </c>
      <c r="C42" s="311">
        <v>7429</v>
      </c>
      <c r="D42" s="311">
        <v>11484</v>
      </c>
      <c r="E42" s="312">
        <v>2500000</v>
      </c>
      <c r="F42" s="312"/>
      <c r="G42" s="312"/>
      <c r="H42" s="312"/>
      <c r="I42" s="312"/>
      <c r="J42" s="312"/>
      <c r="K42" s="312"/>
      <c r="L42" s="312"/>
      <c r="M42" s="312"/>
      <c r="N42" s="312"/>
      <c r="O42" s="312"/>
      <c r="P42" s="312"/>
      <c r="Q42" s="312"/>
      <c r="R42" s="312"/>
      <c r="S42" s="312"/>
      <c r="T42" s="312"/>
      <c r="U42" s="312"/>
      <c r="V42" s="312"/>
      <c r="W42" s="312"/>
      <c r="X42" s="312"/>
      <c r="Y42" s="312">
        <v>2500000</v>
      </c>
      <c r="Z42" s="312"/>
      <c r="AA42" s="312"/>
      <c r="AB42" s="312"/>
      <c r="AC42" s="312"/>
      <c r="AD42" s="312"/>
      <c r="AE42" s="312"/>
      <c r="AF42" s="312"/>
      <c r="AG42" s="312"/>
      <c r="AH42" s="312"/>
      <c r="AI42" s="312"/>
      <c r="AJ42" s="312"/>
      <c r="AK42" s="312"/>
      <c r="AL42" s="312"/>
      <c r="AM42" s="312"/>
      <c r="AN42" s="312"/>
      <c r="AO42" s="312"/>
      <c r="AP42" s="312"/>
      <c r="AQ42" s="312"/>
      <c r="AR42" s="312"/>
      <c r="AS42" s="312"/>
      <c r="AT42" s="312"/>
      <c r="AU42" s="312"/>
      <c r="AV42" s="312"/>
      <c r="AW42" s="312"/>
      <c r="AX42" s="306">
        <f t="shared" si="1"/>
        <v>2500000</v>
      </c>
      <c r="AY42" s="313"/>
      <c r="AZ42" s="313"/>
      <c r="BA42" s="313"/>
    </row>
    <row r="43" spans="1:53" s="300" customFormat="1">
      <c r="A43" s="314">
        <v>46073</v>
      </c>
      <c r="B43" s="311" t="s">
        <v>104</v>
      </c>
      <c r="C43" s="311">
        <v>7452</v>
      </c>
      <c r="D43" s="311">
        <v>11487</v>
      </c>
      <c r="E43" s="312">
        <v>2700000</v>
      </c>
      <c r="F43" s="312"/>
      <c r="G43" s="312"/>
      <c r="H43" s="312"/>
      <c r="I43" s="312"/>
      <c r="J43" s="312"/>
      <c r="K43" s="312"/>
      <c r="L43" s="312"/>
      <c r="M43" s="312"/>
      <c r="N43" s="312"/>
      <c r="O43" s="312"/>
      <c r="P43" s="312"/>
      <c r="Q43" s="312">
        <v>2100000</v>
      </c>
      <c r="R43" s="312"/>
      <c r="S43" s="312">
        <v>600000</v>
      </c>
      <c r="T43" s="312"/>
      <c r="U43" s="312"/>
      <c r="V43" s="312"/>
      <c r="W43" s="312"/>
      <c r="X43" s="312"/>
      <c r="Y43" s="312"/>
      <c r="Z43" s="312"/>
      <c r="AA43" s="312"/>
      <c r="AB43" s="312"/>
      <c r="AC43" s="312"/>
      <c r="AD43" s="312"/>
      <c r="AE43" s="312"/>
      <c r="AF43" s="312"/>
      <c r="AG43" s="312"/>
      <c r="AH43" s="312"/>
      <c r="AI43" s="312"/>
      <c r="AJ43" s="312"/>
      <c r="AK43" s="312"/>
      <c r="AL43" s="312"/>
      <c r="AM43" s="312"/>
      <c r="AN43" s="312"/>
      <c r="AO43" s="312"/>
      <c r="AP43" s="312"/>
      <c r="AQ43" s="312"/>
      <c r="AR43" s="312"/>
      <c r="AS43" s="312"/>
      <c r="AT43" s="312"/>
      <c r="AU43" s="312"/>
      <c r="AV43" s="312"/>
      <c r="AW43" s="312"/>
      <c r="AX43" s="306">
        <f t="shared" si="1"/>
        <v>2700000</v>
      </c>
      <c r="AY43" s="313"/>
      <c r="AZ43" s="313"/>
      <c r="BA43" s="313"/>
    </row>
    <row r="44" spans="1:53" s="300" customFormat="1">
      <c r="A44" s="314">
        <v>46073</v>
      </c>
      <c r="B44" s="311" t="s">
        <v>105</v>
      </c>
      <c r="C44" s="311">
        <v>7443</v>
      </c>
      <c r="D44" s="311">
        <v>10524</v>
      </c>
      <c r="E44" s="312">
        <v>3000000</v>
      </c>
      <c r="F44" s="312"/>
      <c r="G44" s="312"/>
      <c r="H44" s="312"/>
      <c r="I44" s="312"/>
      <c r="J44" s="312"/>
      <c r="K44" s="312"/>
      <c r="L44" s="312"/>
      <c r="M44" s="312"/>
      <c r="N44" s="312"/>
      <c r="O44" s="312">
        <v>3000000</v>
      </c>
      <c r="P44" s="312"/>
      <c r="Q44" s="312"/>
      <c r="R44" s="312"/>
      <c r="S44" s="312"/>
      <c r="T44" s="312"/>
      <c r="U44" s="312"/>
      <c r="V44" s="312"/>
      <c r="W44" s="312"/>
      <c r="X44" s="312"/>
      <c r="Y44" s="312"/>
      <c r="Z44" s="312"/>
      <c r="AA44" s="312"/>
      <c r="AB44" s="312"/>
      <c r="AC44" s="312"/>
      <c r="AD44" s="312"/>
      <c r="AE44" s="312"/>
      <c r="AF44" s="312"/>
      <c r="AG44" s="312"/>
      <c r="AH44" s="312"/>
      <c r="AI44" s="312"/>
      <c r="AJ44" s="312"/>
      <c r="AK44" s="312"/>
      <c r="AL44" s="312"/>
      <c r="AM44" s="312"/>
      <c r="AN44" s="312"/>
      <c r="AO44" s="312"/>
      <c r="AP44" s="312"/>
      <c r="AQ44" s="312"/>
      <c r="AR44" s="312"/>
      <c r="AS44" s="312"/>
      <c r="AT44" s="312"/>
      <c r="AU44" s="312"/>
      <c r="AV44" s="312"/>
      <c r="AW44" s="312"/>
      <c r="AX44" s="306">
        <f t="shared" si="1"/>
        <v>3000000</v>
      </c>
      <c r="AY44" s="313"/>
      <c r="AZ44" s="313"/>
      <c r="BA44" s="313"/>
    </row>
    <row r="45" spans="1:53" s="300" customFormat="1" ht="30">
      <c r="A45" s="309">
        <v>46080</v>
      </c>
      <c r="B45" s="310" t="s">
        <v>106</v>
      </c>
      <c r="C45" s="311">
        <v>7468</v>
      </c>
      <c r="D45" s="310" t="s">
        <v>107</v>
      </c>
      <c r="E45" s="312">
        <v>1010000</v>
      </c>
      <c r="F45" s="312"/>
      <c r="G45" s="312"/>
      <c r="H45" s="312"/>
      <c r="I45" s="312"/>
      <c r="J45" s="312"/>
      <c r="K45" s="312"/>
      <c r="L45" s="312"/>
      <c r="M45" s="312"/>
      <c r="N45" s="312"/>
      <c r="O45" s="312"/>
      <c r="P45" s="312"/>
      <c r="Q45" s="312"/>
      <c r="R45" s="312"/>
      <c r="S45" s="312">
        <v>510000</v>
      </c>
      <c r="T45" s="312"/>
      <c r="U45" s="312"/>
      <c r="V45" s="312"/>
      <c r="W45" s="312"/>
      <c r="X45" s="312"/>
      <c r="Y45" s="312"/>
      <c r="Z45" s="312">
        <v>500000</v>
      </c>
      <c r="AA45" s="312"/>
      <c r="AB45" s="312"/>
      <c r="AC45" s="312"/>
      <c r="AD45" s="312"/>
      <c r="AE45" s="312"/>
      <c r="AF45" s="312"/>
      <c r="AG45" s="312"/>
      <c r="AH45" s="312"/>
      <c r="AI45" s="312"/>
      <c r="AJ45" s="312"/>
      <c r="AK45" s="312"/>
      <c r="AL45" s="312"/>
      <c r="AM45" s="312"/>
      <c r="AN45" s="312"/>
      <c r="AO45" s="312"/>
      <c r="AP45" s="312"/>
      <c r="AQ45" s="312"/>
      <c r="AR45" s="312"/>
      <c r="AS45" s="312"/>
      <c r="AT45" s="312"/>
      <c r="AU45" s="312"/>
      <c r="AV45" s="312"/>
      <c r="AW45" s="312"/>
      <c r="AX45" s="306">
        <f t="shared" si="1"/>
        <v>1010000</v>
      </c>
      <c r="AY45" s="313"/>
      <c r="AZ45" s="313"/>
      <c r="BA45" s="313"/>
    </row>
    <row r="46" spans="1:53" s="300" customFormat="1">
      <c r="A46" s="309">
        <v>46077</v>
      </c>
      <c r="B46" s="311" t="s">
        <v>108</v>
      </c>
      <c r="C46" s="311">
        <v>7442</v>
      </c>
      <c r="D46" s="311">
        <v>10523</v>
      </c>
      <c r="E46" s="312">
        <v>800000</v>
      </c>
      <c r="F46" s="312"/>
      <c r="G46" s="312"/>
      <c r="H46" s="312"/>
      <c r="I46" s="312"/>
      <c r="J46" s="312"/>
      <c r="K46" s="312"/>
      <c r="L46" s="312"/>
      <c r="M46" s="312"/>
      <c r="N46" s="312"/>
      <c r="O46" s="312"/>
      <c r="P46" s="312"/>
      <c r="Q46" s="312"/>
      <c r="R46" s="312"/>
      <c r="S46" s="312"/>
      <c r="T46" s="312"/>
      <c r="U46" s="312"/>
      <c r="V46" s="312"/>
      <c r="W46" s="312"/>
      <c r="X46" s="312"/>
      <c r="Y46" s="312"/>
      <c r="Z46" s="312"/>
      <c r="AA46" s="312">
        <v>800000</v>
      </c>
      <c r="AB46" s="312"/>
      <c r="AC46" s="312"/>
      <c r="AD46" s="312"/>
      <c r="AE46" s="312"/>
      <c r="AF46" s="312"/>
      <c r="AG46" s="312"/>
      <c r="AH46" s="312"/>
      <c r="AI46" s="312"/>
      <c r="AJ46" s="312"/>
      <c r="AK46" s="312"/>
      <c r="AL46" s="312"/>
      <c r="AM46" s="312"/>
      <c r="AN46" s="312"/>
      <c r="AO46" s="312"/>
      <c r="AP46" s="312"/>
      <c r="AQ46" s="312"/>
      <c r="AR46" s="312"/>
      <c r="AS46" s="312"/>
      <c r="AT46" s="312"/>
      <c r="AU46" s="312"/>
      <c r="AV46" s="312"/>
      <c r="AW46" s="312"/>
      <c r="AX46" s="306">
        <f t="shared" si="1"/>
        <v>800000</v>
      </c>
      <c r="AY46" s="313"/>
      <c r="AZ46" s="313"/>
      <c r="BA46" s="313"/>
    </row>
    <row r="47" spans="1:53" s="300" customFormat="1">
      <c r="A47" s="309">
        <v>46076</v>
      </c>
      <c r="B47" s="311" t="s">
        <v>109</v>
      </c>
      <c r="C47" s="311">
        <v>7435</v>
      </c>
      <c r="D47" s="311">
        <v>11491</v>
      </c>
      <c r="E47" s="312">
        <v>400000</v>
      </c>
      <c r="F47" s="312"/>
      <c r="G47" s="312"/>
      <c r="H47" s="312"/>
      <c r="I47" s="312"/>
      <c r="J47" s="312"/>
      <c r="K47" s="312"/>
      <c r="L47" s="312"/>
      <c r="M47" s="312"/>
      <c r="N47" s="312"/>
      <c r="O47" s="312"/>
      <c r="P47" s="312"/>
      <c r="Q47" s="312"/>
      <c r="R47" s="312"/>
      <c r="S47" s="312"/>
      <c r="T47" s="312"/>
      <c r="U47" s="312"/>
      <c r="V47" s="312"/>
      <c r="W47" s="312"/>
      <c r="X47" s="312"/>
      <c r="Y47" s="312"/>
      <c r="Z47" s="312"/>
      <c r="AA47" s="312">
        <v>0</v>
      </c>
      <c r="AB47" s="312"/>
      <c r="AC47" s="312"/>
      <c r="AD47" s="312"/>
      <c r="AE47" s="312"/>
      <c r="AF47" s="312"/>
      <c r="AG47" s="312"/>
      <c r="AH47" s="312"/>
      <c r="AI47" s="312"/>
      <c r="AJ47" s="312"/>
      <c r="AK47" s="312"/>
      <c r="AL47" s="312"/>
      <c r="AM47" s="312"/>
      <c r="AN47" s="312"/>
      <c r="AO47" s="312"/>
      <c r="AP47" s="312"/>
      <c r="AQ47" s="312"/>
      <c r="AR47" s="312"/>
      <c r="AS47" s="312"/>
      <c r="AT47" s="312"/>
      <c r="AU47" s="312"/>
      <c r="AV47" s="312"/>
      <c r="AW47" s="312"/>
      <c r="AX47" s="306">
        <f t="shared" si="1"/>
        <v>0</v>
      </c>
      <c r="AY47" s="313"/>
      <c r="AZ47" s="313"/>
      <c r="BA47" s="313"/>
    </row>
    <row r="48" spans="1:53" s="300" customFormat="1">
      <c r="A48" s="309">
        <v>46076</v>
      </c>
      <c r="B48" s="311" t="s">
        <v>110</v>
      </c>
      <c r="C48" s="311">
        <v>7438</v>
      </c>
      <c r="D48" s="311">
        <v>11488</v>
      </c>
      <c r="E48" s="312">
        <v>2000000</v>
      </c>
      <c r="F48" s="312"/>
      <c r="G48" s="312"/>
      <c r="H48" s="312"/>
      <c r="I48" s="312"/>
      <c r="J48" s="312"/>
      <c r="K48" s="312"/>
      <c r="L48" s="312"/>
      <c r="M48" s="312"/>
      <c r="N48" s="312"/>
      <c r="O48" s="312"/>
      <c r="P48" s="312"/>
      <c r="Q48" s="312">
        <v>2000000</v>
      </c>
      <c r="R48" s="312"/>
      <c r="S48" s="312"/>
      <c r="T48" s="312"/>
      <c r="U48" s="312"/>
      <c r="V48" s="312"/>
      <c r="W48" s="312"/>
      <c r="X48" s="312"/>
      <c r="Y48" s="312"/>
      <c r="Z48" s="312"/>
      <c r="AA48" s="312"/>
      <c r="AB48" s="312">
        <v>400000</v>
      </c>
      <c r="AC48" s="312"/>
      <c r="AD48" s="312"/>
      <c r="AE48" s="312"/>
      <c r="AF48" s="312"/>
      <c r="AG48" s="312"/>
      <c r="AH48" s="312"/>
      <c r="AI48" s="312"/>
      <c r="AJ48" s="312"/>
      <c r="AK48" s="312"/>
      <c r="AL48" s="312"/>
      <c r="AM48" s="312"/>
      <c r="AN48" s="312"/>
      <c r="AO48" s="312"/>
      <c r="AP48" s="312"/>
      <c r="AQ48" s="312"/>
      <c r="AR48" s="312"/>
      <c r="AS48" s="312"/>
      <c r="AT48" s="312"/>
      <c r="AU48" s="312"/>
      <c r="AV48" s="312"/>
      <c r="AW48" s="312"/>
      <c r="AX48" s="306">
        <f t="shared" si="1"/>
        <v>2400000</v>
      </c>
      <c r="AY48" s="313"/>
      <c r="AZ48" s="313"/>
      <c r="BA48" s="313"/>
    </row>
    <row r="49" spans="1:53" s="300" customFormat="1">
      <c r="A49" s="309">
        <v>46080</v>
      </c>
      <c r="B49" s="311" t="s">
        <v>111</v>
      </c>
      <c r="C49" s="311">
        <v>7470</v>
      </c>
      <c r="D49" s="311">
        <v>9601</v>
      </c>
      <c r="E49" s="312">
        <v>5000000</v>
      </c>
      <c r="F49" s="312"/>
      <c r="G49" s="312"/>
      <c r="H49" s="312"/>
      <c r="I49" s="312"/>
      <c r="J49" s="312"/>
      <c r="K49" s="312"/>
      <c r="L49" s="312"/>
      <c r="M49" s="312"/>
      <c r="N49" s="312"/>
      <c r="O49" s="312"/>
      <c r="P49" s="312"/>
      <c r="Q49" s="312"/>
      <c r="R49" s="312"/>
      <c r="S49" s="312"/>
      <c r="T49" s="312"/>
      <c r="U49" s="312"/>
      <c r="V49" s="312"/>
      <c r="W49" s="312"/>
      <c r="X49" s="312"/>
      <c r="Y49" s="312"/>
      <c r="Z49" s="312"/>
      <c r="AA49" s="312"/>
      <c r="AB49" s="312"/>
      <c r="AC49" s="312">
        <v>5000000</v>
      </c>
      <c r="AD49" s="312"/>
      <c r="AE49" s="312"/>
      <c r="AF49" s="312"/>
      <c r="AG49" s="312"/>
      <c r="AH49" s="312"/>
      <c r="AI49" s="312"/>
      <c r="AJ49" s="312"/>
      <c r="AK49" s="312"/>
      <c r="AL49" s="312"/>
      <c r="AM49" s="312"/>
      <c r="AN49" s="312"/>
      <c r="AO49" s="312"/>
      <c r="AP49" s="312"/>
      <c r="AQ49" s="312"/>
      <c r="AR49" s="312"/>
      <c r="AS49" s="312"/>
      <c r="AT49" s="312"/>
      <c r="AU49" s="312"/>
      <c r="AV49" s="312"/>
      <c r="AW49" s="312"/>
      <c r="AX49" s="306">
        <f t="shared" si="1"/>
        <v>5000000</v>
      </c>
      <c r="AY49" s="313"/>
      <c r="AZ49" s="313"/>
      <c r="BA49" s="313"/>
    </row>
    <row r="50" spans="1:53" s="300" customFormat="1">
      <c r="A50" s="309">
        <v>46080</v>
      </c>
      <c r="B50" s="311" t="s">
        <v>74</v>
      </c>
      <c r="C50" s="311">
        <v>7489</v>
      </c>
      <c r="D50" s="311">
        <v>10528</v>
      </c>
      <c r="E50" s="312">
        <v>2475000</v>
      </c>
      <c r="F50" s="312"/>
      <c r="G50" s="312"/>
      <c r="H50" s="312"/>
      <c r="I50" s="312"/>
      <c r="J50" s="312"/>
      <c r="K50" s="312"/>
      <c r="L50" s="312">
        <f>1485000</f>
        <v>1485000</v>
      </c>
      <c r="M50" s="312"/>
      <c r="N50" s="312"/>
      <c r="O50" s="312"/>
      <c r="P50" s="312"/>
      <c r="Q50" s="312"/>
      <c r="R50" s="312"/>
      <c r="S50" s="312"/>
      <c r="T50" s="312"/>
      <c r="U50" s="312"/>
      <c r="V50" s="312"/>
      <c r="W50" s="312"/>
      <c r="X50" s="312"/>
      <c r="Y50" s="312"/>
      <c r="Z50" s="312"/>
      <c r="AA50" s="312"/>
      <c r="AB50" s="312"/>
      <c r="AC50" s="312"/>
      <c r="AD50" s="312"/>
      <c r="AE50" s="312">
        <v>910000</v>
      </c>
      <c r="AF50" s="312">
        <v>80000</v>
      </c>
      <c r="AG50" s="312"/>
      <c r="AH50" s="312"/>
      <c r="AI50" s="312"/>
      <c r="AJ50" s="312"/>
      <c r="AK50" s="312"/>
      <c r="AL50" s="312"/>
      <c r="AM50" s="312"/>
      <c r="AN50" s="312"/>
      <c r="AO50" s="312"/>
      <c r="AP50" s="312"/>
      <c r="AQ50" s="312"/>
      <c r="AR50" s="312"/>
      <c r="AS50" s="312"/>
      <c r="AT50" s="312"/>
      <c r="AU50" s="312"/>
      <c r="AV50" s="312"/>
      <c r="AW50" s="312"/>
      <c r="AX50" s="306">
        <f t="shared" si="1"/>
        <v>2475000</v>
      </c>
      <c r="AY50" s="313"/>
      <c r="AZ50" s="313"/>
      <c r="BA50" s="313"/>
    </row>
    <row r="51" spans="1:53" s="300" customFormat="1">
      <c r="A51" s="309">
        <v>46073</v>
      </c>
      <c r="B51" s="311" t="s">
        <v>112</v>
      </c>
      <c r="C51" s="311">
        <v>7329</v>
      </c>
      <c r="D51" s="311">
        <v>11360</v>
      </c>
      <c r="E51" s="312">
        <v>500000</v>
      </c>
      <c r="F51" s="312"/>
      <c r="G51" s="312"/>
      <c r="H51" s="312"/>
      <c r="I51" s="312"/>
      <c r="J51" s="312"/>
      <c r="K51" s="312"/>
      <c r="L51" s="312"/>
      <c r="M51" s="312"/>
      <c r="N51" s="312"/>
      <c r="O51" s="312"/>
      <c r="P51" s="312"/>
      <c r="Q51" s="312"/>
      <c r="R51" s="312"/>
      <c r="S51" s="312"/>
      <c r="T51" s="312"/>
      <c r="U51" s="312"/>
      <c r="V51" s="312"/>
      <c r="W51" s="312"/>
      <c r="X51" s="312"/>
      <c r="Y51" s="312">
        <v>500000</v>
      </c>
      <c r="Z51" s="312"/>
      <c r="AA51" s="312"/>
      <c r="AB51" s="312"/>
      <c r="AC51" s="312"/>
      <c r="AD51" s="312"/>
      <c r="AE51" s="312"/>
      <c r="AF51" s="312"/>
      <c r="AG51" s="312"/>
      <c r="AH51" s="312"/>
      <c r="AI51" s="312"/>
      <c r="AJ51" s="312"/>
      <c r="AK51" s="312"/>
      <c r="AL51" s="312"/>
      <c r="AM51" s="312"/>
      <c r="AN51" s="312"/>
      <c r="AO51" s="312"/>
      <c r="AP51" s="312"/>
      <c r="AQ51" s="312"/>
      <c r="AR51" s="312"/>
      <c r="AS51" s="312"/>
      <c r="AT51" s="312"/>
      <c r="AU51" s="312"/>
      <c r="AV51" s="312"/>
      <c r="AW51" s="312"/>
      <c r="AX51" s="306">
        <f t="shared" si="1"/>
        <v>500000</v>
      </c>
      <c r="AY51" s="313"/>
      <c r="AZ51" s="313"/>
      <c r="BA51" s="313"/>
    </row>
    <row r="52" spans="1:53" s="300" customFormat="1">
      <c r="A52" s="309">
        <v>46081</v>
      </c>
      <c r="B52" s="311" t="s">
        <v>113</v>
      </c>
      <c r="C52" s="311">
        <v>7480</v>
      </c>
      <c r="D52" s="311">
        <v>9509</v>
      </c>
      <c r="E52" s="312">
        <v>750000</v>
      </c>
      <c r="F52" s="312"/>
      <c r="G52" s="312"/>
      <c r="H52" s="312"/>
      <c r="I52" s="312"/>
      <c r="J52" s="312"/>
      <c r="K52" s="312"/>
      <c r="L52" s="312"/>
      <c r="M52" s="312"/>
      <c r="N52" s="312"/>
      <c r="O52" s="312"/>
      <c r="P52" s="312"/>
      <c r="Q52" s="312"/>
      <c r="R52" s="312"/>
      <c r="S52" s="312"/>
      <c r="T52" s="312"/>
      <c r="U52" s="312"/>
      <c r="V52" s="312"/>
      <c r="W52" s="312"/>
      <c r="X52" s="312">
        <v>750000</v>
      </c>
      <c r="Y52" s="312"/>
      <c r="Z52" s="312"/>
      <c r="AA52" s="312"/>
      <c r="AB52" s="312"/>
      <c r="AC52" s="312"/>
      <c r="AD52" s="312"/>
      <c r="AE52" s="312"/>
      <c r="AF52" s="312"/>
      <c r="AG52" s="312"/>
      <c r="AH52" s="312"/>
      <c r="AI52" s="312"/>
      <c r="AJ52" s="312"/>
      <c r="AK52" s="312"/>
      <c r="AL52" s="312"/>
      <c r="AM52" s="312"/>
      <c r="AN52" s="312"/>
      <c r="AO52" s="312"/>
      <c r="AP52" s="312"/>
      <c r="AQ52" s="312"/>
      <c r="AR52" s="312"/>
      <c r="AS52" s="312"/>
      <c r="AT52" s="312"/>
      <c r="AU52" s="312"/>
      <c r="AV52" s="312"/>
      <c r="AW52" s="312"/>
      <c r="AX52" s="306">
        <f t="shared" si="1"/>
        <v>750000</v>
      </c>
      <c r="AY52" s="313"/>
      <c r="AZ52" s="313"/>
      <c r="BA52" s="313"/>
    </row>
    <row r="53" spans="1:53" s="300" customFormat="1">
      <c r="A53" s="309">
        <v>46081</v>
      </c>
      <c r="B53" s="311" t="s">
        <v>88</v>
      </c>
      <c r="C53" s="311">
        <v>7497</v>
      </c>
      <c r="D53" s="311">
        <v>9566</v>
      </c>
      <c r="E53" s="312">
        <v>14095500</v>
      </c>
      <c r="F53" s="312"/>
      <c r="G53" s="312"/>
      <c r="H53" s="312"/>
      <c r="I53" s="312">
        <f>500000</f>
        <v>500000</v>
      </c>
      <c r="J53" s="312">
        <f>160000+450000+450000+350000+200000+230000+180000+550000+200000+100000</f>
        <v>2870000</v>
      </c>
      <c r="K53" s="312">
        <f>3000000</f>
        <v>3000000</v>
      </c>
      <c r="L53" s="312"/>
      <c r="M53" s="312"/>
      <c r="N53" s="312"/>
      <c r="O53" s="312">
        <f>1000000+510000</f>
        <v>1510000</v>
      </c>
      <c r="P53" s="312"/>
      <c r="Q53" s="312">
        <f>1350000</f>
        <v>1350000</v>
      </c>
      <c r="R53" s="312"/>
      <c r="S53" s="312">
        <f>250000+800000+150000</f>
        <v>1200000</v>
      </c>
      <c r="T53" s="312"/>
      <c r="U53" s="312"/>
      <c r="V53" s="312"/>
      <c r="W53" s="312">
        <f>2000000</f>
        <v>2000000</v>
      </c>
      <c r="X53" s="312">
        <f>250000</f>
        <v>250000</v>
      </c>
      <c r="Y53" s="312"/>
      <c r="Z53" s="312">
        <f>260000+135000+105000+161500+504000</f>
        <v>1165500</v>
      </c>
      <c r="AA53" s="312"/>
      <c r="AB53" s="312"/>
      <c r="AC53" s="312"/>
      <c r="AD53" s="312">
        <f>250000</f>
        <v>250000</v>
      </c>
      <c r="AE53" s="312"/>
      <c r="AF53" s="312"/>
      <c r="AG53" s="312"/>
      <c r="AH53" s="312"/>
      <c r="AI53" s="312"/>
      <c r="AJ53" s="312"/>
      <c r="AK53" s="312"/>
      <c r="AL53" s="312"/>
      <c r="AM53" s="312"/>
      <c r="AN53" s="312"/>
      <c r="AO53" s="312"/>
      <c r="AP53" s="312"/>
      <c r="AQ53" s="312"/>
      <c r="AR53" s="312"/>
      <c r="AS53" s="312"/>
      <c r="AT53" s="312"/>
      <c r="AU53" s="312"/>
      <c r="AV53" s="312"/>
      <c r="AW53" s="312"/>
      <c r="AX53" s="306">
        <f t="shared" si="1"/>
        <v>14095500</v>
      </c>
      <c r="AY53" s="313"/>
      <c r="AZ53" s="313"/>
      <c r="BA53" s="313"/>
    </row>
    <row r="54" spans="1:53" ht="30">
      <c r="A54" s="123">
        <v>46062</v>
      </c>
      <c r="B54" s="69" t="s">
        <v>30</v>
      </c>
      <c r="C54" s="69">
        <v>7456</v>
      </c>
      <c r="D54" s="130" t="s">
        <v>114</v>
      </c>
      <c r="E54" s="131">
        <v>2335000</v>
      </c>
      <c r="F54" s="131"/>
      <c r="G54" s="131"/>
      <c r="H54" s="131"/>
      <c r="I54" s="131"/>
      <c r="J54" s="131">
        <f>2335000</f>
        <v>2335000</v>
      </c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  <c r="AA54" s="131"/>
      <c r="AB54" s="131"/>
      <c r="AC54" s="131"/>
      <c r="AD54" s="131"/>
      <c r="AE54" s="131"/>
      <c r="AF54" s="131"/>
      <c r="AG54" s="131"/>
      <c r="AH54" s="131"/>
      <c r="AI54" s="131"/>
      <c r="AJ54" s="131"/>
      <c r="AK54" s="131"/>
      <c r="AL54" s="131"/>
      <c r="AM54" s="131"/>
      <c r="AN54" s="131"/>
      <c r="AO54" s="131"/>
      <c r="AP54" s="131"/>
      <c r="AQ54" s="131"/>
      <c r="AR54" s="131"/>
      <c r="AS54" s="131"/>
      <c r="AT54" s="131"/>
      <c r="AU54" s="131"/>
      <c r="AV54" s="131"/>
      <c r="AW54" s="131"/>
      <c r="AX54" s="306">
        <f t="shared" si="1"/>
        <v>2335000</v>
      </c>
    </row>
    <row r="55" spans="1:53" s="300" customFormat="1">
      <c r="A55" s="309">
        <v>46077</v>
      </c>
      <c r="B55" s="311" t="s">
        <v>73</v>
      </c>
      <c r="C55" s="311">
        <v>7473</v>
      </c>
      <c r="D55" s="311">
        <v>9564</v>
      </c>
      <c r="E55" s="312">
        <v>11614400</v>
      </c>
      <c r="F55" s="312"/>
      <c r="G55" s="312">
        <f>200000+500000</f>
        <v>700000</v>
      </c>
      <c r="H55" s="312"/>
      <c r="I55" s="312">
        <v>1350000</v>
      </c>
      <c r="J55" s="312">
        <f>700000+500000+550000</f>
        <v>1750000</v>
      </c>
      <c r="K55" s="312"/>
      <c r="L55" s="312"/>
      <c r="M55" s="312"/>
      <c r="N55" s="312"/>
      <c r="O55" s="312"/>
      <c r="P55" s="312"/>
      <c r="Q55" s="312"/>
      <c r="R55" s="312"/>
      <c r="S55" s="312"/>
      <c r="T55" s="312"/>
      <c r="U55" s="312"/>
      <c r="V55" s="312"/>
      <c r="W55" s="312"/>
      <c r="X55" s="312"/>
      <c r="Y55" s="312"/>
      <c r="Z55" s="312"/>
      <c r="AA55" s="312">
        <f>400000+1200000+280000</f>
        <v>1880000</v>
      </c>
      <c r="AB55" s="312">
        <f>2354400+980000</f>
        <v>3334400</v>
      </c>
      <c r="AC55" s="312"/>
      <c r="AD55" s="312"/>
      <c r="AE55" s="312"/>
      <c r="AF55" s="312"/>
      <c r="AG55" s="312">
        <f>2600000</f>
        <v>2600000</v>
      </c>
      <c r="AH55" s="312"/>
      <c r="AI55" s="312"/>
      <c r="AJ55" s="312"/>
      <c r="AK55" s="312"/>
      <c r="AL55" s="312"/>
      <c r="AM55" s="312"/>
      <c r="AN55" s="312"/>
      <c r="AO55" s="312"/>
      <c r="AP55" s="312"/>
      <c r="AQ55" s="312"/>
      <c r="AR55" s="312"/>
      <c r="AS55" s="312"/>
      <c r="AT55" s="312"/>
      <c r="AU55" s="312"/>
      <c r="AV55" s="312"/>
      <c r="AW55" s="312"/>
      <c r="AX55" s="306">
        <f t="shared" si="1"/>
        <v>11614400</v>
      </c>
      <c r="AY55" s="313"/>
      <c r="AZ55" s="313"/>
      <c r="BA55" s="313"/>
    </row>
    <row r="56" spans="1:53" s="300" customFormat="1" ht="45">
      <c r="A56" s="309">
        <v>46077</v>
      </c>
      <c r="B56" s="311" t="s">
        <v>73</v>
      </c>
      <c r="C56" s="311">
        <v>7453</v>
      </c>
      <c r="D56" s="310" t="s">
        <v>115</v>
      </c>
      <c r="E56" s="312">
        <v>4920000</v>
      </c>
      <c r="F56" s="312"/>
      <c r="G56" s="312"/>
      <c r="H56" s="312"/>
      <c r="I56" s="312"/>
      <c r="J56" s="312">
        <f>400000+100000+350000+200000+150000+2860000+80000</f>
        <v>4140000</v>
      </c>
      <c r="K56" s="312"/>
      <c r="L56" s="312"/>
      <c r="M56" s="312"/>
      <c r="N56" s="312"/>
      <c r="O56" s="312"/>
      <c r="P56" s="312"/>
      <c r="Q56" s="312"/>
      <c r="R56" s="312"/>
      <c r="S56" s="312"/>
      <c r="T56" s="312"/>
      <c r="U56" s="312"/>
      <c r="V56" s="312"/>
      <c r="W56" s="312"/>
      <c r="X56" s="312"/>
      <c r="Y56" s="312"/>
      <c r="Z56" s="312"/>
      <c r="AA56" s="312"/>
      <c r="AB56" s="312"/>
      <c r="AC56" s="312"/>
      <c r="AD56" s="312"/>
      <c r="AE56" s="312"/>
      <c r="AF56" s="312"/>
      <c r="AG56" s="312"/>
      <c r="AH56" s="312"/>
      <c r="AI56" s="312">
        <f>430000</f>
        <v>430000</v>
      </c>
      <c r="AJ56" s="312">
        <f>350000</f>
        <v>350000</v>
      </c>
      <c r="AK56" s="312"/>
      <c r="AL56" s="312"/>
      <c r="AM56" s="312"/>
      <c r="AN56" s="312"/>
      <c r="AO56" s="312"/>
      <c r="AP56" s="312"/>
      <c r="AQ56" s="312"/>
      <c r="AR56" s="312"/>
      <c r="AS56" s="312"/>
      <c r="AT56" s="312"/>
      <c r="AU56" s="312"/>
      <c r="AV56" s="312"/>
      <c r="AW56" s="312"/>
      <c r="AX56" s="306">
        <f t="shared" si="1"/>
        <v>4920000</v>
      </c>
      <c r="AY56" s="313"/>
      <c r="AZ56" s="313"/>
      <c r="BA56" s="313"/>
    </row>
    <row r="57" spans="1:53" s="248" customFormat="1" ht="30">
      <c r="A57" s="315" t="s">
        <v>116</v>
      </c>
      <c r="B57" s="289" t="s">
        <v>117</v>
      </c>
      <c r="C57" s="283"/>
      <c r="D57" s="289"/>
      <c r="E57" s="285">
        <v>25989000</v>
      </c>
      <c r="F57" s="285"/>
      <c r="G57" s="285"/>
      <c r="H57" s="285"/>
      <c r="I57" s="285"/>
      <c r="J57" s="285"/>
      <c r="K57" s="285"/>
      <c r="L57" s="285"/>
      <c r="M57" s="285"/>
      <c r="N57" s="285"/>
      <c r="O57" s="285"/>
      <c r="P57" s="285"/>
      <c r="Q57" s="285"/>
      <c r="R57" s="285"/>
      <c r="S57" s="285"/>
      <c r="T57" s="285"/>
      <c r="U57" s="285"/>
      <c r="V57" s="285"/>
      <c r="W57" s="285"/>
      <c r="X57" s="285"/>
      <c r="Y57" s="285"/>
      <c r="Z57" s="285"/>
      <c r="AA57" s="285"/>
      <c r="AB57" s="285"/>
      <c r="AC57" s="285"/>
      <c r="AD57" s="285"/>
      <c r="AE57" s="285"/>
      <c r="AF57" s="285"/>
      <c r="AG57" s="285"/>
      <c r="AH57" s="285"/>
      <c r="AI57" s="285"/>
      <c r="AJ57" s="285"/>
      <c r="AK57" s="285"/>
      <c r="AL57" s="285"/>
      <c r="AM57" s="285"/>
      <c r="AN57" s="285"/>
      <c r="AO57" s="285"/>
      <c r="AP57" s="285"/>
      <c r="AQ57" s="285"/>
      <c r="AR57" s="285"/>
      <c r="AS57" s="285"/>
      <c r="AT57" s="285"/>
      <c r="AU57" s="285"/>
      <c r="AV57" s="285">
        <v>25989000</v>
      </c>
      <c r="AX57" s="316">
        <f>F57+G57+H57+I57+J57+K57+L57+M57+N57+O57+P57+Q57+R57+S57+T57+U57+V57+W57+X57+Y57+Z57+AA57+AB57+AC57+AD57+AE57+AF57+AG57+AH57+AI57+AJ57+AK57+AL57+AM57+AN57+AO57+AP57+AQ57+AR57+AS57+AT57+AU57+AV57</f>
        <v>25989000</v>
      </c>
      <c r="AY57" s="317"/>
      <c r="AZ57" s="317"/>
      <c r="BA57" s="317"/>
    </row>
    <row r="58" spans="1:53" s="300" customFormat="1">
      <c r="A58" s="309">
        <v>46077</v>
      </c>
      <c r="B58" s="311" t="s">
        <v>118</v>
      </c>
      <c r="C58" s="311">
        <v>7269</v>
      </c>
      <c r="D58" s="311">
        <v>14347</v>
      </c>
      <c r="E58" s="312">
        <v>1398720</v>
      </c>
      <c r="F58" s="312"/>
      <c r="G58" s="312"/>
      <c r="H58" s="312"/>
      <c r="I58" s="312"/>
      <c r="J58" s="312"/>
      <c r="K58" s="312"/>
      <c r="L58" s="312"/>
      <c r="M58" s="312"/>
      <c r="N58" s="312"/>
      <c r="O58" s="312"/>
      <c r="P58" s="312"/>
      <c r="Q58" s="312"/>
      <c r="R58" s="312"/>
      <c r="S58" s="312"/>
      <c r="T58" s="312"/>
      <c r="U58" s="312"/>
      <c r="V58" s="312"/>
      <c r="W58" s="312"/>
      <c r="X58" s="312"/>
      <c r="Y58" s="312"/>
      <c r="Z58" s="312"/>
      <c r="AA58" s="312"/>
      <c r="AB58" s="312"/>
      <c r="AC58" s="312"/>
      <c r="AD58" s="312"/>
      <c r="AE58" s="312"/>
      <c r="AF58" s="312"/>
      <c r="AG58" s="312"/>
      <c r="AH58" s="312"/>
      <c r="AI58" s="312">
        <v>1488000</v>
      </c>
      <c r="AJ58" s="312"/>
      <c r="AK58" s="312"/>
      <c r="AL58" s="312"/>
      <c r="AM58" s="312"/>
      <c r="AN58" s="312"/>
      <c r="AO58" s="312"/>
      <c r="AP58" s="312"/>
      <c r="AQ58" s="312"/>
      <c r="AR58" s="312"/>
      <c r="AS58" s="312"/>
      <c r="AT58" s="312"/>
      <c r="AU58" s="312"/>
      <c r="AV58" s="312"/>
      <c r="AW58" s="312"/>
      <c r="AX58" s="306">
        <f t="shared" ref="AX58:AX66" si="2">F58+G58+H58+I58+J58+K58+L58+M58+N58+O58+P58+Q58+R58+S58+T58+U58+V58+W58+X58+Y58+Z58+AA58+AB58+AC58+AD58+AE58+AF58+AG58+AH58+AI58+AJ58+AK58+AL58+AM58+AN58+AO58+AP58+AQ58+AR58+AS58+AT58+AU58+AW58</f>
        <v>1488000</v>
      </c>
      <c r="AY58" s="313"/>
      <c r="AZ58" s="313"/>
      <c r="BA58" s="313"/>
    </row>
    <row r="59" spans="1:53" s="300" customFormat="1" ht="30">
      <c r="A59" s="309">
        <v>46055</v>
      </c>
      <c r="B59" s="310" t="s">
        <v>119</v>
      </c>
      <c r="C59" s="311">
        <v>7397</v>
      </c>
      <c r="D59" s="311">
        <v>11445</v>
      </c>
      <c r="E59" s="312">
        <v>133292000</v>
      </c>
      <c r="F59" s="312"/>
      <c r="G59" s="312"/>
      <c r="H59" s="312"/>
      <c r="I59" s="312"/>
      <c r="J59" s="312"/>
      <c r="K59" s="312"/>
      <c r="L59" s="312"/>
      <c r="M59" s="312"/>
      <c r="N59" s="312"/>
      <c r="O59" s="312"/>
      <c r="P59" s="312"/>
      <c r="Q59" s="312"/>
      <c r="R59" s="312"/>
      <c r="S59" s="312"/>
      <c r="T59" s="312"/>
      <c r="U59" s="312"/>
      <c r="V59" s="312"/>
      <c r="W59" s="312"/>
      <c r="X59" s="312"/>
      <c r="Y59" s="312"/>
      <c r="Z59" s="312"/>
      <c r="AA59" s="312"/>
      <c r="AB59" s="312"/>
      <c r="AC59" s="312"/>
      <c r="AD59" s="312"/>
      <c r="AE59" s="312"/>
      <c r="AF59" s="312"/>
      <c r="AG59" s="312"/>
      <c r="AH59" s="312"/>
      <c r="AI59" s="312"/>
      <c r="AJ59" s="312"/>
      <c r="AK59" s="312"/>
      <c r="AL59" s="312">
        <v>141800000</v>
      </c>
      <c r="AM59" s="312"/>
      <c r="AN59" s="312"/>
      <c r="AO59" s="312"/>
      <c r="AP59" s="312"/>
      <c r="AQ59" s="312"/>
      <c r="AR59" s="312"/>
      <c r="AS59" s="312"/>
      <c r="AT59" s="312"/>
      <c r="AU59" s="312"/>
      <c r="AV59" s="312"/>
      <c r="AW59" s="312"/>
      <c r="AX59" s="306">
        <f t="shared" si="2"/>
        <v>141800000</v>
      </c>
      <c r="AY59" s="313"/>
      <c r="AZ59" s="313"/>
      <c r="BA59" s="313"/>
    </row>
    <row r="60" spans="1:53" s="300" customFormat="1">
      <c r="A60" s="309">
        <v>46076</v>
      </c>
      <c r="B60" s="311" t="s">
        <v>120</v>
      </c>
      <c r="C60" s="311">
        <v>7376</v>
      </c>
      <c r="D60" s="311">
        <v>11401</v>
      </c>
      <c r="E60" s="312">
        <v>1450600</v>
      </c>
      <c r="F60" s="312"/>
      <c r="G60" s="312"/>
      <c r="H60" s="312"/>
      <c r="I60" s="312"/>
      <c r="J60" s="312"/>
      <c r="K60" s="312"/>
      <c r="L60" s="312"/>
      <c r="M60" s="312"/>
      <c r="N60" s="312"/>
      <c r="O60" s="312"/>
      <c r="P60" s="312"/>
      <c r="Q60" s="312"/>
      <c r="R60" s="312"/>
      <c r="S60" s="312"/>
      <c r="T60" s="312"/>
      <c r="U60" s="312"/>
      <c r="V60" s="312"/>
      <c r="W60" s="312"/>
      <c r="X60" s="312"/>
      <c r="Y60" s="312"/>
      <c r="Z60" s="312"/>
      <c r="AA60" s="312"/>
      <c r="AB60" s="312"/>
      <c r="AC60" s="312"/>
      <c r="AD60" s="312"/>
      <c r="AE60" s="312"/>
      <c r="AF60" s="312"/>
      <c r="AG60" s="312"/>
      <c r="AH60" s="312">
        <v>1450000</v>
      </c>
      <c r="AI60" s="312"/>
      <c r="AJ60" s="312"/>
      <c r="AK60" s="312"/>
      <c r="AL60" s="312"/>
      <c r="AM60" s="312"/>
      <c r="AN60" s="312"/>
      <c r="AO60" s="312"/>
      <c r="AP60" s="312"/>
      <c r="AQ60" s="312"/>
      <c r="AR60" s="312"/>
      <c r="AS60" s="312"/>
      <c r="AT60" s="312"/>
      <c r="AU60" s="312"/>
      <c r="AV60" s="312"/>
      <c r="AW60" s="312"/>
      <c r="AX60" s="306">
        <f t="shared" si="2"/>
        <v>1450000</v>
      </c>
      <c r="AY60" s="313"/>
      <c r="AZ60" s="313"/>
      <c r="BA60" s="313"/>
    </row>
    <row r="61" spans="1:53" s="300" customFormat="1">
      <c r="A61" s="309">
        <v>46073</v>
      </c>
      <c r="B61" s="311" t="s">
        <v>121</v>
      </c>
      <c r="C61" s="311">
        <v>7439</v>
      </c>
      <c r="D61" s="311">
        <v>11400</v>
      </c>
      <c r="E61" s="312">
        <v>1316000</v>
      </c>
      <c r="F61" s="312"/>
      <c r="G61" s="312"/>
      <c r="H61" s="312"/>
      <c r="I61" s="312"/>
      <c r="J61" s="312"/>
      <c r="K61" s="312"/>
      <c r="L61" s="312"/>
      <c r="M61" s="312"/>
      <c r="N61" s="312"/>
      <c r="O61" s="312"/>
      <c r="P61" s="312"/>
      <c r="Q61" s="312"/>
      <c r="R61" s="312"/>
      <c r="S61" s="312"/>
      <c r="T61" s="312"/>
      <c r="U61" s="312"/>
      <c r="V61" s="312"/>
      <c r="W61" s="312"/>
      <c r="X61" s="312"/>
      <c r="Y61" s="312"/>
      <c r="Z61" s="312"/>
      <c r="AA61" s="312"/>
      <c r="AB61" s="312"/>
      <c r="AC61" s="312"/>
      <c r="AD61" s="312"/>
      <c r="AE61" s="312"/>
      <c r="AF61" s="312"/>
      <c r="AG61" s="312"/>
      <c r="AH61" s="312"/>
      <c r="AI61" s="312"/>
      <c r="AJ61" s="312"/>
      <c r="AK61" s="312"/>
      <c r="AL61" s="312"/>
      <c r="AM61" s="312">
        <v>1400000</v>
      </c>
      <c r="AN61" s="312"/>
      <c r="AO61" s="312"/>
      <c r="AP61" s="312"/>
      <c r="AQ61" s="312"/>
      <c r="AR61" s="312"/>
      <c r="AS61" s="312"/>
      <c r="AT61" s="312"/>
      <c r="AU61" s="312"/>
      <c r="AV61" s="312"/>
      <c r="AW61" s="312"/>
      <c r="AX61" s="306">
        <f t="shared" si="2"/>
        <v>1400000</v>
      </c>
      <c r="AY61" s="313"/>
      <c r="AZ61" s="313"/>
      <c r="BA61" s="313"/>
    </row>
    <row r="62" spans="1:53" s="300" customFormat="1">
      <c r="A62" s="309">
        <v>46071</v>
      </c>
      <c r="B62" s="311" t="s">
        <v>122</v>
      </c>
      <c r="C62" s="311">
        <v>7460</v>
      </c>
      <c r="D62" s="311">
        <v>9502</v>
      </c>
      <c r="E62" s="312">
        <v>8200000</v>
      </c>
      <c r="F62" s="312"/>
      <c r="G62" s="312"/>
      <c r="H62" s="312"/>
      <c r="I62" s="312"/>
      <c r="J62" s="312"/>
      <c r="K62" s="312"/>
      <c r="L62" s="312"/>
      <c r="M62" s="312"/>
      <c r="N62" s="312"/>
      <c r="O62" s="312"/>
      <c r="P62" s="312"/>
      <c r="Q62" s="312"/>
      <c r="R62" s="312"/>
      <c r="S62" s="312"/>
      <c r="T62" s="312"/>
      <c r="U62" s="312"/>
      <c r="V62" s="312"/>
      <c r="W62" s="312"/>
      <c r="X62" s="312"/>
      <c r="Y62" s="312"/>
      <c r="Z62" s="312"/>
      <c r="AA62" s="312"/>
      <c r="AB62" s="312"/>
      <c r="AC62" s="312"/>
      <c r="AD62" s="312"/>
      <c r="AE62" s="312"/>
      <c r="AF62" s="312"/>
      <c r="AG62" s="312"/>
      <c r="AH62" s="312"/>
      <c r="AI62" s="312"/>
      <c r="AJ62" s="312"/>
      <c r="AK62" s="312"/>
      <c r="AL62" s="312"/>
      <c r="AM62" s="312"/>
      <c r="AN62" s="312"/>
      <c r="AO62" s="312"/>
      <c r="AP62" s="312"/>
      <c r="AQ62" s="312"/>
      <c r="AR62" s="312"/>
      <c r="AS62" s="312"/>
      <c r="AT62" s="312"/>
      <c r="AU62" s="312"/>
      <c r="AV62" s="312"/>
      <c r="AW62" s="312"/>
      <c r="AX62" s="306">
        <f t="shared" si="2"/>
        <v>0</v>
      </c>
      <c r="AY62" s="313"/>
      <c r="AZ62" s="313"/>
      <c r="BA62" s="313"/>
    </row>
    <row r="63" spans="1:53" s="300" customFormat="1">
      <c r="A63" s="311"/>
      <c r="B63" s="311" t="s">
        <v>122</v>
      </c>
      <c r="C63" s="311">
        <v>7459</v>
      </c>
      <c r="D63" s="311">
        <v>9502</v>
      </c>
      <c r="E63" s="312">
        <v>10000000</v>
      </c>
      <c r="F63" s="312"/>
      <c r="G63" s="312"/>
      <c r="H63" s="312"/>
      <c r="I63" s="312"/>
      <c r="J63" s="312"/>
      <c r="K63" s="312"/>
      <c r="L63" s="312"/>
      <c r="M63" s="312"/>
      <c r="N63" s="312"/>
      <c r="O63" s="312"/>
      <c r="P63" s="312"/>
      <c r="Q63" s="312"/>
      <c r="R63" s="312"/>
      <c r="S63" s="312"/>
      <c r="T63" s="312"/>
      <c r="U63" s="312"/>
      <c r="V63" s="312"/>
      <c r="W63" s="312"/>
      <c r="X63" s="312"/>
      <c r="Y63" s="312"/>
      <c r="Z63" s="312"/>
      <c r="AA63" s="312"/>
      <c r="AB63" s="312"/>
      <c r="AC63" s="312"/>
      <c r="AD63" s="312"/>
      <c r="AE63" s="312"/>
      <c r="AF63" s="312"/>
      <c r="AG63" s="312"/>
      <c r="AH63" s="312"/>
      <c r="AI63" s="312"/>
      <c r="AJ63" s="312"/>
      <c r="AK63" s="312"/>
      <c r="AL63" s="312"/>
      <c r="AM63" s="312"/>
      <c r="AN63" s="312"/>
      <c r="AO63" s="312"/>
      <c r="AP63" s="312"/>
      <c r="AQ63" s="312"/>
      <c r="AR63" s="312"/>
      <c r="AS63" s="312"/>
      <c r="AT63" s="312"/>
      <c r="AU63" s="312"/>
      <c r="AV63" s="312"/>
      <c r="AW63" s="312"/>
      <c r="AX63" s="306">
        <f t="shared" si="2"/>
        <v>0</v>
      </c>
      <c r="AY63" s="313"/>
      <c r="AZ63" s="313"/>
      <c r="BA63" s="313"/>
    </row>
    <row r="64" spans="1:53" s="300" customFormat="1">
      <c r="A64" s="311"/>
      <c r="B64" s="311" t="s">
        <v>122</v>
      </c>
      <c r="C64" s="311">
        <v>7458</v>
      </c>
      <c r="D64" s="311">
        <v>9502</v>
      </c>
      <c r="E64" s="312">
        <v>10000000</v>
      </c>
      <c r="F64" s="312"/>
      <c r="G64" s="312"/>
      <c r="H64" s="312"/>
      <c r="I64" s="312"/>
      <c r="J64" s="312"/>
      <c r="K64" s="312"/>
      <c r="L64" s="312"/>
      <c r="M64" s="312"/>
      <c r="N64" s="312"/>
      <c r="O64" s="312"/>
      <c r="P64" s="312"/>
      <c r="Q64" s="312"/>
      <c r="R64" s="312"/>
      <c r="S64" s="312"/>
      <c r="T64" s="312"/>
      <c r="U64" s="312"/>
      <c r="V64" s="312"/>
      <c r="W64" s="312"/>
      <c r="X64" s="312"/>
      <c r="Y64" s="312"/>
      <c r="Z64" s="312"/>
      <c r="AA64" s="312"/>
      <c r="AB64" s="312"/>
      <c r="AC64" s="312"/>
      <c r="AD64" s="312"/>
      <c r="AE64" s="312"/>
      <c r="AF64" s="312"/>
      <c r="AG64" s="312"/>
      <c r="AH64" s="312"/>
      <c r="AI64" s="312"/>
      <c r="AJ64" s="312"/>
      <c r="AK64" s="312"/>
      <c r="AL64" s="312"/>
      <c r="AM64" s="312"/>
      <c r="AN64" s="312">
        <v>30000000</v>
      </c>
      <c r="AO64" s="312"/>
      <c r="AP64" s="312"/>
      <c r="AQ64" s="312"/>
      <c r="AR64" s="312"/>
      <c r="AS64" s="312"/>
      <c r="AT64" s="312"/>
      <c r="AU64" s="312"/>
      <c r="AV64" s="312"/>
      <c r="AW64" s="312"/>
      <c r="AX64" s="306">
        <f t="shared" si="2"/>
        <v>30000000</v>
      </c>
      <c r="AY64" s="313"/>
      <c r="AZ64" s="313"/>
      <c r="BA64" s="313"/>
    </row>
    <row r="65" spans="1:65" s="300" customFormat="1">
      <c r="A65" s="309">
        <v>46058</v>
      </c>
      <c r="B65" s="311" t="s">
        <v>121</v>
      </c>
      <c r="C65" s="311">
        <v>7400</v>
      </c>
      <c r="D65" s="311">
        <v>11442</v>
      </c>
      <c r="E65" s="312">
        <v>2632000</v>
      </c>
      <c r="F65" s="312"/>
      <c r="G65" s="312"/>
      <c r="H65" s="312"/>
      <c r="I65" s="312"/>
      <c r="J65" s="312"/>
      <c r="K65" s="312"/>
      <c r="L65" s="312"/>
      <c r="M65" s="312"/>
      <c r="N65" s="312"/>
      <c r="O65" s="312"/>
      <c r="P65" s="312"/>
      <c r="Q65" s="312"/>
      <c r="R65" s="312"/>
      <c r="S65" s="312"/>
      <c r="T65" s="312"/>
      <c r="U65" s="312"/>
      <c r="V65" s="312"/>
      <c r="W65" s="312"/>
      <c r="X65" s="312"/>
      <c r="Y65" s="312"/>
      <c r="Z65" s="312"/>
      <c r="AA65" s="312"/>
      <c r="AB65" s="312"/>
      <c r="AC65" s="312"/>
      <c r="AD65" s="312"/>
      <c r="AE65" s="312"/>
      <c r="AF65" s="312"/>
      <c r="AG65" s="312"/>
      <c r="AH65" s="312"/>
      <c r="AI65" s="312"/>
      <c r="AJ65" s="312"/>
      <c r="AK65" s="312"/>
      <c r="AL65" s="312"/>
      <c r="AM65" s="312">
        <v>2800000</v>
      </c>
      <c r="AN65" s="312"/>
      <c r="AO65" s="312"/>
      <c r="AP65" s="312"/>
      <c r="AQ65" s="312"/>
      <c r="AR65" s="312"/>
      <c r="AS65" s="312"/>
      <c r="AT65" s="312"/>
      <c r="AU65" s="312"/>
      <c r="AV65" s="312"/>
      <c r="AW65" s="312"/>
      <c r="AX65" s="306">
        <f t="shared" si="2"/>
        <v>2800000</v>
      </c>
      <c r="AY65" s="313"/>
      <c r="AZ65" s="313"/>
      <c r="BA65" s="313"/>
    </row>
    <row r="66" spans="1:65" s="300" customFormat="1">
      <c r="A66" s="314">
        <v>46081</v>
      </c>
      <c r="B66" s="311" t="s">
        <v>123</v>
      </c>
      <c r="C66" s="311">
        <v>7463</v>
      </c>
      <c r="D66" s="311">
        <v>9563</v>
      </c>
      <c r="E66" s="312">
        <v>34528550</v>
      </c>
      <c r="F66" s="312"/>
      <c r="G66" s="312"/>
      <c r="H66" s="312"/>
      <c r="I66" s="312"/>
      <c r="J66" s="312"/>
      <c r="K66" s="312"/>
      <c r="L66" s="312"/>
      <c r="M66" s="312"/>
      <c r="N66" s="312"/>
      <c r="O66" s="312"/>
      <c r="P66" s="312"/>
      <c r="Q66" s="312"/>
      <c r="R66" s="312"/>
      <c r="S66" s="312"/>
      <c r="T66" s="312"/>
      <c r="U66" s="312"/>
      <c r="V66" s="312"/>
      <c r="W66" s="312"/>
      <c r="X66" s="312"/>
      <c r="Y66" s="312"/>
      <c r="Z66" s="312"/>
      <c r="AA66" s="312"/>
      <c r="AB66" s="312"/>
      <c r="AC66" s="312"/>
      <c r="AD66" s="312"/>
      <c r="AE66" s="312"/>
      <c r="AF66" s="312"/>
      <c r="AG66" s="312"/>
      <c r="AH66" s="312"/>
      <c r="AI66" s="312"/>
      <c r="AJ66" s="312"/>
      <c r="AK66" s="312"/>
      <c r="AL66" s="312"/>
      <c r="AM66" s="312"/>
      <c r="AN66" s="312"/>
      <c r="AO66" s="312">
        <v>36732500</v>
      </c>
      <c r="AP66" s="312"/>
      <c r="AQ66" s="312"/>
      <c r="AR66" s="312"/>
      <c r="AS66" s="312"/>
      <c r="AT66" s="312"/>
      <c r="AU66" s="312"/>
      <c r="AV66" s="312"/>
      <c r="AW66" s="312"/>
      <c r="AX66" s="306">
        <f t="shared" si="2"/>
        <v>36732500</v>
      </c>
      <c r="AY66" s="313"/>
      <c r="AZ66" s="313"/>
      <c r="BA66" s="313"/>
    </row>
    <row r="67" spans="1:65" s="300" customFormat="1" ht="30">
      <c r="A67" s="309">
        <v>46071</v>
      </c>
      <c r="B67" s="310" t="s">
        <v>124</v>
      </c>
      <c r="C67" s="311">
        <v>7449</v>
      </c>
      <c r="D67" s="311">
        <v>10517</v>
      </c>
      <c r="E67" s="312">
        <v>3824312</v>
      </c>
      <c r="F67" s="312"/>
      <c r="G67" s="312"/>
      <c r="H67" s="312"/>
      <c r="I67" s="312"/>
      <c r="J67" s="312"/>
      <c r="K67" s="312"/>
      <c r="L67" s="312"/>
      <c r="M67" s="312"/>
      <c r="N67" s="312"/>
      <c r="O67" s="312"/>
      <c r="P67" s="312"/>
      <c r="Q67" s="312"/>
      <c r="R67" s="312"/>
      <c r="S67" s="312"/>
      <c r="T67" s="312"/>
      <c r="U67" s="312"/>
      <c r="V67" s="312"/>
      <c r="W67" s="312"/>
      <c r="X67" s="312"/>
      <c r="Y67" s="312"/>
      <c r="Z67" s="312"/>
      <c r="AA67" s="312"/>
      <c r="AB67" s="312"/>
      <c r="AC67" s="312"/>
      <c r="AD67" s="312"/>
      <c r="AE67" s="312"/>
      <c r="AF67" s="312"/>
      <c r="AG67" s="312"/>
      <c r="AH67" s="312"/>
      <c r="AI67" s="312"/>
      <c r="AJ67" s="312"/>
      <c r="AK67" s="312"/>
      <c r="AL67" s="312"/>
      <c r="AM67" s="312"/>
      <c r="AN67" s="312"/>
      <c r="AO67" s="312"/>
      <c r="AP67" s="312"/>
      <c r="AQ67" s="312">
        <v>3824312</v>
      </c>
      <c r="AR67" s="312"/>
      <c r="AS67" s="312"/>
      <c r="AT67" s="312"/>
      <c r="AU67" s="312"/>
      <c r="AV67" s="312"/>
      <c r="AW67" s="312"/>
      <c r="AX67" s="306">
        <f t="shared" ref="AX67:AX80" si="3">F67+G67+H67+I67+J67+K67+L67+M67+N67+O67+P67+Q67+R67+S67+T67+U67+V67+W67+X67+Y67+Z67+AA67+AB67+AC67+AD67+AE67+AF67+AG67+AH67+AI67+AJ67+AK67+AL67+AM67+AN67+AO67+AP67+AQ67+AR67+AS67+AT67+AU67+AW67</f>
        <v>3824312</v>
      </c>
      <c r="AY67" s="313"/>
      <c r="AZ67" s="313"/>
      <c r="BA67" s="313"/>
    </row>
    <row r="68" spans="1:65" s="300" customFormat="1">
      <c r="A68" s="309">
        <v>46060</v>
      </c>
      <c r="B68" s="311" t="s">
        <v>125</v>
      </c>
      <c r="C68" s="311">
        <v>7403</v>
      </c>
      <c r="D68" s="311">
        <v>11446</v>
      </c>
      <c r="E68" s="312">
        <v>11410380</v>
      </c>
      <c r="F68" s="312">
        <v>11410380</v>
      </c>
      <c r="G68" s="312"/>
      <c r="H68" s="312"/>
      <c r="I68" s="312"/>
      <c r="J68" s="312"/>
      <c r="K68" s="312"/>
      <c r="L68" s="312"/>
      <c r="M68" s="312"/>
      <c r="N68" s="312"/>
      <c r="O68" s="312"/>
      <c r="P68" s="312"/>
      <c r="Q68" s="312"/>
      <c r="R68" s="312"/>
      <c r="S68" s="312"/>
      <c r="T68" s="312"/>
      <c r="U68" s="312"/>
      <c r="V68" s="312"/>
      <c r="W68" s="312"/>
      <c r="X68" s="312"/>
      <c r="Y68" s="312"/>
      <c r="Z68" s="312"/>
      <c r="AA68" s="312"/>
      <c r="AB68" s="312"/>
      <c r="AC68" s="312"/>
      <c r="AD68" s="312"/>
      <c r="AE68" s="312"/>
      <c r="AF68" s="312"/>
      <c r="AG68" s="312"/>
      <c r="AH68" s="312"/>
      <c r="AI68" s="312"/>
      <c r="AJ68" s="312"/>
      <c r="AK68" s="312"/>
      <c r="AL68" s="312"/>
      <c r="AM68" s="312"/>
      <c r="AN68" s="312"/>
      <c r="AO68" s="312"/>
      <c r="AP68" s="312"/>
      <c r="AQ68" s="312"/>
      <c r="AR68" s="312"/>
      <c r="AS68" s="312"/>
      <c r="AT68" s="312"/>
      <c r="AU68" s="312"/>
      <c r="AV68" s="312"/>
      <c r="AW68" s="312"/>
      <c r="AX68" s="306">
        <f t="shared" si="3"/>
        <v>11410380</v>
      </c>
      <c r="AY68" s="313"/>
      <c r="AZ68" s="313"/>
      <c r="BA68" s="313"/>
    </row>
    <row r="69" spans="1:65" s="300" customFormat="1" ht="30">
      <c r="A69" s="309">
        <v>46060</v>
      </c>
      <c r="B69" s="311" t="s">
        <v>126</v>
      </c>
      <c r="C69" s="311">
        <v>7334</v>
      </c>
      <c r="D69" s="310" t="s">
        <v>127</v>
      </c>
      <c r="E69" s="312">
        <v>1541280</v>
      </c>
      <c r="F69" s="312">
        <v>1541280</v>
      </c>
      <c r="G69" s="312"/>
      <c r="H69" s="312"/>
      <c r="I69" s="312"/>
      <c r="J69" s="312"/>
      <c r="K69" s="312"/>
      <c r="L69" s="312"/>
      <c r="M69" s="312"/>
      <c r="N69" s="312"/>
      <c r="O69" s="312"/>
      <c r="P69" s="312"/>
      <c r="Q69" s="312"/>
      <c r="R69" s="312"/>
      <c r="S69" s="312"/>
      <c r="T69" s="312"/>
      <c r="U69" s="312"/>
      <c r="V69" s="312"/>
      <c r="W69" s="312"/>
      <c r="X69" s="312"/>
      <c r="Y69" s="312"/>
      <c r="Z69" s="312"/>
      <c r="AA69" s="312"/>
      <c r="AB69" s="312"/>
      <c r="AC69" s="312"/>
      <c r="AD69" s="312"/>
      <c r="AE69" s="312"/>
      <c r="AF69" s="312"/>
      <c r="AG69" s="312"/>
      <c r="AH69" s="312"/>
      <c r="AI69" s="312"/>
      <c r="AJ69" s="312"/>
      <c r="AK69" s="312"/>
      <c r="AL69" s="312"/>
      <c r="AM69" s="312"/>
      <c r="AN69" s="312"/>
      <c r="AO69" s="312"/>
      <c r="AP69" s="312"/>
      <c r="AQ69" s="312"/>
      <c r="AR69" s="312"/>
      <c r="AS69" s="312"/>
      <c r="AT69" s="312"/>
      <c r="AU69" s="312"/>
      <c r="AV69" s="312"/>
      <c r="AW69" s="312"/>
      <c r="AX69" s="306">
        <f t="shared" si="3"/>
        <v>1541280</v>
      </c>
      <c r="AY69" s="313"/>
      <c r="AZ69" s="313"/>
      <c r="BA69" s="313"/>
    </row>
    <row r="70" spans="1:65" s="300" customFormat="1">
      <c r="A70" s="309">
        <v>46071</v>
      </c>
      <c r="B70" s="311" t="s">
        <v>128</v>
      </c>
      <c r="C70" s="311">
        <v>7450</v>
      </c>
      <c r="D70" s="311">
        <v>10518</v>
      </c>
      <c r="E70" s="312">
        <v>3824321</v>
      </c>
      <c r="F70" s="312"/>
      <c r="G70" s="312"/>
      <c r="H70" s="312"/>
      <c r="I70" s="312"/>
      <c r="J70" s="312"/>
      <c r="K70" s="312"/>
      <c r="L70" s="312"/>
      <c r="M70" s="312"/>
      <c r="N70" s="312"/>
      <c r="O70" s="312"/>
      <c r="P70" s="312"/>
      <c r="Q70" s="312"/>
      <c r="R70" s="312"/>
      <c r="S70" s="312"/>
      <c r="T70" s="312"/>
      <c r="U70" s="312"/>
      <c r="V70" s="312"/>
      <c r="W70" s="312"/>
      <c r="X70" s="312"/>
      <c r="Y70" s="312"/>
      <c r="Z70" s="312"/>
      <c r="AA70" s="312"/>
      <c r="AB70" s="312"/>
      <c r="AC70" s="312"/>
      <c r="AD70" s="312"/>
      <c r="AE70" s="312"/>
      <c r="AF70" s="312"/>
      <c r="AG70" s="312"/>
      <c r="AH70" s="312"/>
      <c r="AI70" s="312"/>
      <c r="AJ70" s="312"/>
      <c r="AK70" s="312"/>
      <c r="AL70" s="312"/>
      <c r="AM70" s="312"/>
      <c r="AN70" s="312"/>
      <c r="AO70" s="312"/>
      <c r="AP70" s="312"/>
      <c r="AQ70" s="312">
        <f>3824312</f>
        <v>3824312</v>
      </c>
      <c r="AR70" s="312"/>
      <c r="AS70" s="312"/>
      <c r="AT70" s="312"/>
      <c r="AU70" s="312"/>
      <c r="AV70" s="312"/>
      <c r="AW70" s="312"/>
      <c r="AX70" s="306">
        <f t="shared" si="3"/>
        <v>3824312</v>
      </c>
      <c r="AY70" s="313"/>
      <c r="AZ70" s="313"/>
      <c r="BA70" s="313"/>
      <c r="BM70" s="300" t="s">
        <v>129</v>
      </c>
    </row>
    <row r="71" spans="1:65" s="300" customFormat="1">
      <c r="A71" s="309">
        <v>46072</v>
      </c>
      <c r="B71" s="311" t="s">
        <v>128</v>
      </c>
      <c r="C71" s="311">
        <v>7447</v>
      </c>
      <c r="D71" s="311">
        <v>11500</v>
      </c>
      <c r="E71" s="312">
        <v>3502542</v>
      </c>
      <c r="F71" s="312"/>
      <c r="G71" s="312"/>
      <c r="H71" s="312"/>
      <c r="I71" s="312"/>
      <c r="J71" s="312"/>
      <c r="K71" s="312"/>
      <c r="L71" s="312"/>
      <c r="M71" s="312"/>
      <c r="N71" s="312"/>
      <c r="O71" s="312"/>
      <c r="P71" s="312"/>
      <c r="Q71" s="312"/>
      <c r="R71" s="312"/>
      <c r="S71" s="312"/>
      <c r="T71" s="312"/>
      <c r="U71" s="312"/>
      <c r="V71" s="312"/>
      <c r="W71" s="312"/>
      <c r="X71" s="312"/>
      <c r="Y71" s="312"/>
      <c r="Z71" s="312"/>
      <c r="AA71" s="312"/>
      <c r="AB71" s="312"/>
      <c r="AC71" s="312"/>
      <c r="AD71" s="312"/>
      <c r="AE71" s="312"/>
      <c r="AF71" s="312"/>
      <c r="AG71" s="312"/>
      <c r="AH71" s="312"/>
      <c r="AI71" s="312"/>
      <c r="AJ71" s="312"/>
      <c r="AK71" s="312"/>
      <c r="AL71" s="312"/>
      <c r="AM71" s="312"/>
      <c r="AN71" s="312"/>
      <c r="AO71" s="312"/>
      <c r="AP71" s="312"/>
      <c r="AQ71" s="312">
        <v>3502542</v>
      </c>
      <c r="AR71" s="312"/>
      <c r="AS71" s="312"/>
      <c r="AT71" s="312"/>
      <c r="AU71" s="312"/>
      <c r="AV71" s="312"/>
      <c r="AW71" s="312"/>
      <c r="AX71" s="306">
        <f t="shared" si="3"/>
        <v>3502542</v>
      </c>
      <c r="AY71" s="313"/>
      <c r="AZ71" s="313"/>
      <c r="BA71" s="313"/>
    </row>
    <row r="72" spans="1:65" s="300" customFormat="1" ht="30">
      <c r="A72" s="309">
        <v>46080</v>
      </c>
      <c r="B72" s="310" t="s">
        <v>19</v>
      </c>
      <c r="C72" s="311">
        <v>7472</v>
      </c>
      <c r="D72" s="311">
        <v>9612</v>
      </c>
      <c r="E72" s="312">
        <v>22701000</v>
      </c>
      <c r="F72" s="312"/>
      <c r="G72" s="312"/>
      <c r="H72" s="312"/>
      <c r="I72" s="312"/>
      <c r="J72" s="312"/>
      <c r="K72" s="312"/>
      <c r="L72" s="312"/>
      <c r="M72" s="312"/>
      <c r="N72" s="312"/>
      <c r="O72" s="312"/>
      <c r="P72" s="312"/>
      <c r="Q72" s="312"/>
      <c r="R72" s="312"/>
      <c r="S72" s="312"/>
      <c r="T72" s="312"/>
      <c r="U72" s="312"/>
      <c r="V72" s="312"/>
      <c r="W72" s="312"/>
      <c r="X72" s="312"/>
      <c r="Y72" s="312"/>
      <c r="Z72" s="312"/>
      <c r="AA72" s="312"/>
      <c r="AB72" s="312"/>
      <c r="AC72" s="312"/>
      <c r="AD72" s="312"/>
      <c r="AE72" s="312"/>
      <c r="AF72" s="312"/>
      <c r="AG72" s="312"/>
      <c r="AH72" s="312"/>
      <c r="AI72" s="312"/>
      <c r="AJ72" s="312"/>
      <c r="AK72" s="312"/>
      <c r="AL72" s="312"/>
      <c r="AM72" s="312"/>
      <c r="AN72" s="312"/>
      <c r="AO72" s="312"/>
      <c r="AP72" s="312"/>
      <c r="AQ72" s="312"/>
      <c r="AR72" s="312">
        <v>24150000</v>
      </c>
      <c r="AS72" s="312"/>
      <c r="AT72" s="312"/>
      <c r="AU72" s="312"/>
      <c r="AV72" s="312"/>
      <c r="AW72" s="312"/>
      <c r="AX72" s="306">
        <f t="shared" si="3"/>
        <v>24150000</v>
      </c>
      <c r="AY72" s="313"/>
      <c r="AZ72" s="313"/>
      <c r="BA72" s="313"/>
    </row>
    <row r="73" spans="1:65" s="300" customFormat="1">
      <c r="A73" s="309">
        <v>46071</v>
      </c>
      <c r="B73" s="311" t="s">
        <v>126</v>
      </c>
      <c r="C73" s="311">
        <v>7389</v>
      </c>
      <c r="D73" s="311">
        <v>11422</v>
      </c>
      <c r="E73" s="312">
        <v>1512000</v>
      </c>
      <c r="F73" s="312">
        <v>1512000</v>
      </c>
      <c r="G73" s="312"/>
      <c r="H73" s="312"/>
      <c r="I73" s="312"/>
      <c r="J73" s="312"/>
      <c r="K73" s="312"/>
      <c r="L73" s="312"/>
      <c r="M73" s="312"/>
      <c r="N73" s="312"/>
      <c r="O73" s="312"/>
      <c r="P73" s="312"/>
      <c r="Q73" s="312"/>
      <c r="R73" s="312"/>
      <c r="S73" s="312"/>
      <c r="T73" s="312"/>
      <c r="U73" s="312"/>
      <c r="V73" s="312"/>
      <c r="W73" s="312"/>
      <c r="X73" s="312"/>
      <c r="Y73" s="312"/>
      <c r="Z73" s="312"/>
      <c r="AA73" s="312"/>
      <c r="AB73" s="312"/>
      <c r="AC73" s="312"/>
      <c r="AD73" s="312"/>
      <c r="AE73" s="312"/>
      <c r="AF73" s="312"/>
      <c r="AG73" s="312"/>
      <c r="AH73" s="312"/>
      <c r="AI73" s="312"/>
      <c r="AJ73" s="312"/>
      <c r="AK73" s="312"/>
      <c r="AL73" s="312"/>
      <c r="AM73" s="312"/>
      <c r="AN73" s="312"/>
      <c r="AO73" s="312"/>
      <c r="AP73" s="312"/>
      <c r="AQ73" s="312"/>
      <c r="AR73" s="312"/>
      <c r="AS73" s="312"/>
      <c r="AT73" s="312"/>
      <c r="AU73" s="312"/>
      <c r="AV73" s="312"/>
      <c r="AW73" s="312"/>
      <c r="AX73" s="306">
        <f t="shared" si="3"/>
        <v>1512000</v>
      </c>
      <c r="AY73" s="313"/>
      <c r="AZ73" s="313"/>
      <c r="BA73" s="313"/>
    </row>
    <row r="74" spans="1:65" s="300" customFormat="1" ht="30">
      <c r="A74" s="309">
        <v>46071</v>
      </c>
      <c r="B74" s="310" t="s">
        <v>130</v>
      </c>
      <c r="C74" s="311">
        <v>7451</v>
      </c>
      <c r="D74" s="311">
        <v>11495</v>
      </c>
      <c r="E74" s="312">
        <v>1014199</v>
      </c>
      <c r="F74" s="312"/>
      <c r="G74" s="312"/>
      <c r="H74" s="312"/>
      <c r="I74" s="312"/>
      <c r="J74" s="312"/>
      <c r="K74" s="312"/>
      <c r="L74" s="312"/>
      <c r="M74" s="312"/>
      <c r="N74" s="312"/>
      <c r="O74" s="312"/>
      <c r="P74" s="312"/>
      <c r="Q74" s="312"/>
      <c r="R74" s="312"/>
      <c r="S74" s="312"/>
      <c r="T74" s="312">
        <v>1014199</v>
      </c>
      <c r="U74" s="312"/>
      <c r="V74" s="312"/>
      <c r="W74" s="312"/>
      <c r="X74" s="312"/>
      <c r="Y74" s="312"/>
      <c r="Z74" s="312"/>
      <c r="AA74" s="312"/>
      <c r="AB74" s="312"/>
      <c r="AC74" s="312"/>
      <c r="AD74" s="312"/>
      <c r="AE74" s="312"/>
      <c r="AF74" s="312"/>
      <c r="AG74" s="312"/>
      <c r="AH74" s="312"/>
      <c r="AI74" s="312"/>
      <c r="AJ74" s="312"/>
      <c r="AK74" s="312"/>
      <c r="AL74" s="312"/>
      <c r="AM74" s="312"/>
      <c r="AN74" s="312"/>
      <c r="AO74" s="312"/>
      <c r="AP74" s="312"/>
      <c r="AQ74" s="312"/>
      <c r="AR74" s="312"/>
      <c r="AS74" s="312"/>
      <c r="AT74" s="312"/>
      <c r="AU74" s="312"/>
      <c r="AV74" s="312"/>
      <c r="AW74" s="312"/>
      <c r="AX74" s="306">
        <f t="shared" si="3"/>
        <v>1014199</v>
      </c>
      <c r="AY74" s="313"/>
      <c r="AZ74" s="313"/>
      <c r="BA74" s="313"/>
    </row>
    <row r="75" spans="1:65" s="300" customFormat="1">
      <c r="A75" s="309">
        <v>46055</v>
      </c>
      <c r="B75" s="311" t="s">
        <v>126</v>
      </c>
      <c r="C75" s="311">
        <v>7391</v>
      </c>
      <c r="D75" s="311">
        <v>11429</v>
      </c>
      <c r="E75" s="312">
        <v>682500</v>
      </c>
      <c r="F75" s="312"/>
      <c r="G75" s="312"/>
      <c r="H75" s="312"/>
      <c r="I75" s="312"/>
      <c r="J75" s="312"/>
      <c r="K75" s="312"/>
      <c r="L75" s="312"/>
      <c r="M75" s="312"/>
      <c r="N75" s="312"/>
      <c r="O75" s="312"/>
      <c r="P75" s="312"/>
      <c r="Q75" s="312"/>
      <c r="R75" s="312">
        <v>682500</v>
      </c>
      <c r="S75" s="312"/>
      <c r="T75" s="312"/>
      <c r="U75" s="312"/>
      <c r="V75" s="312"/>
      <c r="W75" s="312"/>
      <c r="X75" s="312"/>
      <c r="Y75" s="312"/>
      <c r="Z75" s="312"/>
      <c r="AA75" s="312"/>
      <c r="AB75" s="312"/>
      <c r="AC75" s="312"/>
      <c r="AD75" s="312"/>
      <c r="AE75" s="312"/>
      <c r="AF75" s="312"/>
      <c r="AG75" s="312"/>
      <c r="AH75" s="312"/>
      <c r="AI75" s="312"/>
      <c r="AJ75" s="312"/>
      <c r="AK75" s="312"/>
      <c r="AL75" s="312"/>
      <c r="AM75" s="312"/>
      <c r="AN75" s="312"/>
      <c r="AO75" s="312"/>
      <c r="AP75" s="312"/>
      <c r="AQ75" s="312"/>
      <c r="AR75" s="312"/>
      <c r="AS75" s="312"/>
      <c r="AT75" s="312"/>
      <c r="AU75" s="312"/>
      <c r="AV75" s="312"/>
      <c r="AW75" s="312"/>
      <c r="AX75" s="306">
        <f t="shared" si="3"/>
        <v>682500</v>
      </c>
      <c r="AY75" s="313"/>
      <c r="AZ75" s="313"/>
      <c r="BA75" s="313"/>
    </row>
    <row r="76" spans="1:65" s="300" customFormat="1">
      <c r="A76" s="309">
        <v>46071</v>
      </c>
      <c r="B76" s="310" t="s">
        <v>126</v>
      </c>
      <c r="C76" s="311">
        <v>7448</v>
      </c>
      <c r="D76" s="311">
        <v>10519</v>
      </c>
      <c r="E76" s="312">
        <v>3502542</v>
      </c>
      <c r="F76" s="312"/>
      <c r="G76" s="312"/>
      <c r="H76" s="312"/>
      <c r="I76" s="312"/>
      <c r="J76" s="312"/>
      <c r="K76" s="312"/>
      <c r="L76" s="312"/>
      <c r="M76" s="312"/>
      <c r="N76" s="312"/>
      <c r="O76" s="312"/>
      <c r="P76" s="312"/>
      <c r="Q76" s="312"/>
      <c r="R76" s="312">
        <v>3502542</v>
      </c>
      <c r="S76" s="312"/>
      <c r="T76" s="312"/>
      <c r="U76" s="312"/>
      <c r="V76" s="312"/>
      <c r="W76" s="312"/>
      <c r="X76" s="312"/>
      <c r="Y76" s="312"/>
      <c r="Z76" s="312"/>
      <c r="AA76" s="312"/>
      <c r="AB76" s="312"/>
      <c r="AC76" s="312"/>
      <c r="AD76" s="312"/>
      <c r="AE76" s="312"/>
      <c r="AF76" s="312"/>
      <c r="AG76" s="312"/>
      <c r="AH76" s="312"/>
      <c r="AI76" s="312"/>
      <c r="AJ76" s="312"/>
      <c r="AK76" s="312"/>
      <c r="AL76" s="312"/>
      <c r="AM76" s="312"/>
      <c r="AN76" s="312"/>
      <c r="AO76" s="312"/>
      <c r="AP76" s="312"/>
      <c r="AQ76" s="312"/>
      <c r="AR76" s="312"/>
      <c r="AS76" s="312"/>
      <c r="AT76" s="312"/>
      <c r="AU76" s="312"/>
      <c r="AV76" s="312"/>
      <c r="AW76" s="312"/>
      <c r="AX76" s="306">
        <f t="shared" si="3"/>
        <v>3502542</v>
      </c>
      <c r="AY76" s="313"/>
      <c r="AZ76" s="313"/>
      <c r="BA76" s="313"/>
    </row>
    <row r="77" spans="1:65" s="300" customFormat="1">
      <c r="A77" s="309">
        <v>46060</v>
      </c>
      <c r="B77" s="311" t="s">
        <v>128</v>
      </c>
      <c r="C77" s="311">
        <v>7363</v>
      </c>
      <c r="D77" s="311">
        <v>11344</v>
      </c>
      <c r="E77" s="312">
        <v>3824312</v>
      </c>
      <c r="F77" s="312"/>
      <c r="G77" s="312"/>
      <c r="H77" s="312"/>
      <c r="I77" s="312"/>
      <c r="J77" s="312"/>
      <c r="K77" s="312"/>
      <c r="L77" s="312"/>
      <c r="M77" s="312"/>
      <c r="N77" s="312"/>
      <c r="O77" s="312"/>
      <c r="P77" s="312"/>
      <c r="Q77" s="312"/>
      <c r="R77" s="312"/>
      <c r="S77" s="312"/>
      <c r="T77" s="312"/>
      <c r="U77" s="312"/>
      <c r="V77" s="312"/>
      <c r="W77" s="312"/>
      <c r="X77" s="312"/>
      <c r="Y77" s="312"/>
      <c r="Z77" s="312"/>
      <c r="AA77" s="312"/>
      <c r="AB77" s="312"/>
      <c r="AC77" s="312"/>
      <c r="AD77" s="312"/>
      <c r="AE77" s="312"/>
      <c r="AF77" s="312"/>
      <c r="AG77" s="312"/>
      <c r="AH77" s="312"/>
      <c r="AI77" s="312"/>
      <c r="AJ77" s="312"/>
      <c r="AK77" s="312"/>
      <c r="AL77" s="312"/>
      <c r="AM77" s="312"/>
      <c r="AN77" s="312"/>
      <c r="AO77" s="312"/>
      <c r="AP77" s="312"/>
      <c r="AQ77" s="312"/>
      <c r="AR77" s="312"/>
      <c r="AS77" s="312"/>
      <c r="AT77" s="312"/>
      <c r="AU77" s="312"/>
      <c r="AV77" s="312"/>
      <c r="AW77" s="312"/>
      <c r="AX77" s="306">
        <f t="shared" si="3"/>
        <v>0</v>
      </c>
      <c r="AY77" s="313"/>
      <c r="AZ77" s="313"/>
      <c r="BA77" s="313"/>
    </row>
    <row r="78" spans="1:65" s="300" customFormat="1">
      <c r="A78" s="309">
        <v>46060</v>
      </c>
      <c r="B78" s="310" t="s">
        <v>126</v>
      </c>
      <c r="C78" s="311">
        <v>7365</v>
      </c>
      <c r="D78" s="311">
        <v>11345</v>
      </c>
      <c r="E78" s="312">
        <v>3502542</v>
      </c>
      <c r="F78" s="312"/>
      <c r="G78" s="312"/>
      <c r="H78" s="312"/>
      <c r="I78" s="312"/>
      <c r="J78" s="312"/>
      <c r="K78" s="312"/>
      <c r="L78" s="312"/>
      <c r="M78" s="312"/>
      <c r="N78" s="312"/>
      <c r="O78" s="312"/>
      <c r="P78" s="312"/>
      <c r="Q78" s="312"/>
      <c r="R78" s="312">
        <v>3502542</v>
      </c>
      <c r="S78" s="312"/>
      <c r="T78" s="312"/>
      <c r="U78" s="312"/>
      <c r="V78" s="312"/>
      <c r="W78" s="312"/>
      <c r="X78" s="312"/>
      <c r="Y78" s="312"/>
      <c r="Z78" s="312"/>
      <c r="AA78" s="312"/>
      <c r="AB78" s="312"/>
      <c r="AC78" s="312"/>
      <c r="AD78" s="312"/>
      <c r="AE78" s="312"/>
      <c r="AF78" s="312"/>
      <c r="AG78" s="312"/>
      <c r="AH78" s="312"/>
      <c r="AI78" s="312"/>
      <c r="AJ78" s="312"/>
      <c r="AK78" s="312"/>
      <c r="AL78" s="312"/>
      <c r="AM78" s="312"/>
      <c r="AN78" s="312"/>
      <c r="AO78" s="312"/>
      <c r="AP78" s="312"/>
      <c r="AQ78" s="312"/>
      <c r="AR78" s="312"/>
      <c r="AS78" s="312"/>
      <c r="AT78" s="312"/>
      <c r="AU78" s="312"/>
      <c r="AV78" s="312"/>
      <c r="AW78" s="312"/>
      <c r="AX78" s="306">
        <f t="shared" si="3"/>
        <v>3502542</v>
      </c>
      <c r="AY78" s="313"/>
      <c r="AZ78" s="313"/>
      <c r="BA78" s="313"/>
    </row>
    <row r="79" spans="1:65" s="300" customFormat="1">
      <c r="A79" s="309">
        <v>46060</v>
      </c>
      <c r="B79" s="311" t="s">
        <v>126</v>
      </c>
      <c r="C79" s="311">
        <v>7369</v>
      </c>
      <c r="D79" s="311">
        <v>11323</v>
      </c>
      <c r="E79" s="312">
        <v>5237304</v>
      </c>
      <c r="F79" s="312">
        <v>5237304</v>
      </c>
      <c r="G79" s="312"/>
      <c r="H79" s="312"/>
      <c r="I79" s="312"/>
      <c r="J79" s="312"/>
      <c r="K79" s="312"/>
      <c r="L79" s="312"/>
      <c r="M79" s="312"/>
      <c r="N79" s="312"/>
      <c r="O79" s="312"/>
      <c r="P79" s="312"/>
      <c r="Q79" s="312"/>
      <c r="R79" s="312"/>
      <c r="S79" s="312"/>
      <c r="T79" s="312"/>
      <c r="U79" s="312"/>
      <c r="V79" s="312"/>
      <c r="W79" s="312"/>
      <c r="X79" s="312"/>
      <c r="Y79" s="312"/>
      <c r="Z79" s="312"/>
      <c r="AA79" s="312"/>
      <c r="AB79" s="312"/>
      <c r="AC79" s="312"/>
      <c r="AD79" s="312"/>
      <c r="AE79" s="312"/>
      <c r="AF79" s="312"/>
      <c r="AG79" s="312"/>
      <c r="AH79" s="312"/>
      <c r="AI79" s="312"/>
      <c r="AJ79" s="312"/>
      <c r="AK79" s="312"/>
      <c r="AL79" s="312"/>
      <c r="AM79" s="312"/>
      <c r="AN79" s="312"/>
      <c r="AO79" s="312"/>
      <c r="AP79" s="312"/>
      <c r="AQ79" s="312"/>
      <c r="AR79" s="312"/>
      <c r="AS79" s="312"/>
      <c r="AT79" s="312"/>
      <c r="AU79" s="312"/>
      <c r="AV79" s="312"/>
      <c r="AW79" s="312"/>
      <c r="AX79" s="306">
        <f t="shared" si="3"/>
        <v>5237304</v>
      </c>
      <c r="AY79" s="313"/>
      <c r="AZ79" s="313"/>
      <c r="BA79" s="313"/>
    </row>
    <row r="80" spans="1:65" s="300" customFormat="1">
      <c r="A80" s="309">
        <v>46060</v>
      </c>
      <c r="B80" s="311" t="s">
        <v>126</v>
      </c>
      <c r="C80" s="311">
        <v>7388</v>
      </c>
      <c r="D80" s="311"/>
      <c r="E80" s="312">
        <v>3179304</v>
      </c>
      <c r="F80" s="312">
        <v>3179304</v>
      </c>
      <c r="G80" s="312"/>
      <c r="H80" s="312"/>
      <c r="I80" s="312"/>
      <c r="J80" s="312"/>
      <c r="K80" s="312"/>
      <c r="L80" s="312"/>
      <c r="M80" s="312"/>
      <c r="N80" s="312"/>
      <c r="O80" s="312"/>
      <c r="P80" s="312"/>
      <c r="Q80" s="312"/>
      <c r="R80" s="312"/>
      <c r="S80" s="312"/>
      <c r="T80" s="312"/>
      <c r="U80" s="312"/>
      <c r="V80" s="312"/>
      <c r="W80" s="312"/>
      <c r="X80" s="312"/>
      <c r="Y80" s="312"/>
      <c r="Z80" s="312"/>
      <c r="AA80" s="312"/>
      <c r="AB80" s="312"/>
      <c r="AC80" s="312"/>
      <c r="AD80" s="312"/>
      <c r="AE80" s="312"/>
      <c r="AF80" s="312"/>
      <c r="AG80" s="312"/>
      <c r="AH80" s="312"/>
      <c r="AI80" s="312"/>
      <c r="AJ80" s="312"/>
      <c r="AK80" s="312"/>
      <c r="AL80" s="312"/>
      <c r="AM80" s="312"/>
      <c r="AN80" s="312"/>
      <c r="AO80" s="312"/>
      <c r="AP80" s="312"/>
      <c r="AQ80" s="312"/>
      <c r="AR80" s="312"/>
      <c r="AS80" s="312"/>
      <c r="AT80" s="312"/>
      <c r="AU80" s="312"/>
      <c r="AV80" s="312"/>
      <c r="AW80" s="312"/>
      <c r="AX80" s="306">
        <f t="shared" si="3"/>
        <v>3179304</v>
      </c>
      <c r="AY80" s="313"/>
      <c r="AZ80" s="313"/>
      <c r="BA80" s="313"/>
    </row>
    <row r="81" spans="1:53" s="1" customFormat="1">
      <c r="A81" s="141"/>
      <c r="B81" s="141" t="s">
        <v>5</v>
      </c>
      <c r="C81" s="141"/>
      <c r="D81" s="141"/>
      <c r="E81" s="142">
        <f>SUM(E3:E80)</f>
        <v>1169526284</v>
      </c>
      <c r="F81" s="142">
        <f t="shared" ref="F81:AZ81" si="4">SUM(F3:F80)</f>
        <v>22880268</v>
      </c>
      <c r="G81" s="142">
        <f t="shared" si="4"/>
        <v>4455000</v>
      </c>
      <c r="H81" s="142">
        <f t="shared" si="4"/>
        <v>500000</v>
      </c>
      <c r="I81" s="142">
        <f t="shared" si="4"/>
        <v>5950000</v>
      </c>
      <c r="J81" s="142">
        <f t="shared" si="4"/>
        <v>29260000</v>
      </c>
      <c r="K81" s="142">
        <f t="shared" si="4"/>
        <v>4000000</v>
      </c>
      <c r="L81" s="142">
        <f t="shared" si="4"/>
        <v>5115000</v>
      </c>
      <c r="M81" s="142">
        <f t="shared" si="4"/>
        <v>1848000</v>
      </c>
      <c r="N81" s="142">
        <f t="shared" si="4"/>
        <v>1702000</v>
      </c>
      <c r="O81" s="142">
        <f t="shared" si="4"/>
        <v>11510000</v>
      </c>
      <c r="P81" s="142">
        <f t="shared" si="4"/>
        <v>2500000</v>
      </c>
      <c r="Q81" s="142">
        <f t="shared" si="4"/>
        <v>6500000</v>
      </c>
      <c r="R81" s="142">
        <f t="shared" si="4"/>
        <v>110085808</v>
      </c>
      <c r="S81" s="142">
        <f t="shared" si="4"/>
        <v>7760000</v>
      </c>
      <c r="T81" s="142">
        <f t="shared" si="4"/>
        <v>1304491</v>
      </c>
      <c r="U81" s="142">
        <f t="shared" si="4"/>
        <v>863000</v>
      </c>
      <c r="V81" s="142">
        <f t="shared" si="4"/>
        <v>0</v>
      </c>
      <c r="W81" s="142">
        <f t="shared" si="4"/>
        <v>8662000</v>
      </c>
      <c r="X81" s="142">
        <f t="shared" si="4"/>
        <v>8717500</v>
      </c>
      <c r="Y81" s="142">
        <f t="shared" si="4"/>
        <v>3000000</v>
      </c>
      <c r="Z81" s="142">
        <f t="shared" si="4"/>
        <v>1665500</v>
      </c>
      <c r="AA81" s="142">
        <f t="shared" si="4"/>
        <v>2680000</v>
      </c>
      <c r="AB81" s="142">
        <f t="shared" si="4"/>
        <v>3734400</v>
      </c>
      <c r="AC81" s="142">
        <f t="shared" si="4"/>
        <v>5000000</v>
      </c>
      <c r="AD81" s="142">
        <f t="shared" si="4"/>
        <v>250000</v>
      </c>
      <c r="AE81" s="142">
        <f t="shared" si="4"/>
        <v>910000</v>
      </c>
      <c r="AF81" s="142">
        <f t="shared" si="4"/>
        <v>80000</v>
      </c>
      <c r="AG81" s="142">
        <f t="shared" si="4"/>
        <v>3930000</v>
      </c>
      <c r="AH81" s="142">
        <f t="shared" si="4"/>
        <v>1670000</v>
      </c>
      <c r="AI81" s="142">
        <f t="shared" si="4"/>
        <v>1918000</v>
      </c>
      <c r="AJ81" s="142">
        <f t="shared" si="4"/>
        <v>350000</v>
      </c>
      <c r="AK81" s="142">
        <f t="shared" si="4"/>
        <v>0</v>
      </c>
      <c r="AL81" s="142">
        <f t="shared" si="4"/>
        <v>141800000</v>
      </c>
      <c r="AM81" s="142">
        <f t="shared" si="4"/>
        <v>4200000</v>
      </c>
      <c r="AN81" s="142">
        <f t="shared" si="4"/>
        <v>30000000</v>
      </c>
      <c r="AO81" s="142">
        <f t="shared" si="4"/>
        <v>36732500</v>
      </c>
      <c r="AP81" s="142">
        <f t="shared" si="4"/>
        <v>0</v>
      </c>
      <c r="AQ81" s="142">
        <f t="shared" si="4"/>
        <v>11151166</v>
      </c>
      <c r="AR81" s="142">
        <f t="shared" si="4"/>
        <v>24150000</v>
      </c>
      <c r="AS81" s="142">
        <f t="shared" si="4"/>
        <v>750000</v>
      </c>
      <c r="AT81" s="142">
        <f t="shared" si="4"/>
        <v>49500000</v>
      </c>
      <c r="AU81" s="142">
        <f t="shared" si="4"/>
        <v>599999960</v>
      </c>
      <c r="AV81" s="142">
        <f t="shared" si="4"/>
        <v>25989000</v>
      </c>
      <c r="AW81" s="142">
        <f t="shared" si="4"/>
        <v>0</v>
      </c>
      <c r="AX81" s="142">
        <f t="shared" si="4"/>
        <v>1183073593</v>
      </c>
      <c r="AY81" s="142">
        <f t="shared" si="4"/>
        <v>0</v>
      </c>
      <c r="AZ81" s="142">
        <f t="shared" si="4"/>
        <v>0</v>
      </c>
      <c r="BA81" s="143"/>
    </row>
  </sheetData>
  <mergeCells count="1">
    <mergeCell ref="B1:D1"/>
  </mergeCells>
  <pageMargins left="0" right="0" top="0.15748031496063" bottom="0.15748031496063" header="0.31496062992126" footer="0.31496062992126"/>
  <pageSetup scale="75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T2"/>
  <sheetViews>
    <sheetView topLeftCell="J1" workbookViewId="0">
      <pane ySplit="2" topLeftCell="A126" activePane="bottomLeft" state="frozen"/>
      <selection pane="bottomLeft"/>
    </sheetView>
  </sheetViews>
  <sheetFormatPr defaultColWidth="9" defaultRowHeight="15"/>
  <cols>
    <col min="1" max="1" width="10.85546875" customWidth="1"/>
    <col min="2" max="2" width="28.140625" customWidth="1"/>
    <col min="3" max="3" width="9" hidden="1" customWidth="1"/>
    <col min="5" max="5" width="13.85546875" style="116" customWidth="1"/>
    <col min="6" max="6" width="12.7109375" style="116" customWidth="1"/>
    <col min="7" max="7" width="14.5703125" style="116" customWidth="1"/>
    <col min="8" max="8" width="12.7109375" style="116" customWidth="1"/>
    <col min="9" max="9" width="8.7109375" style="116"/>
    <col min="10" max="10" width="10.140625" style="116" customWidth="1"/>
    <col min="11" max="11" width="8.7109375" style="116"/>
    <col min="12" max="13" width="10" style="116" customWidth="1"/>
    <col min="14" max="14" width="8.7109375" style="116"/>
    <col min="15" max="15" width="8.85546875" style="116" customWidth="1"/>
    <col min="16" max="16" width="10.140625" style="116" customWidth="1"/>
    <col min="17" max="19" width="10" style="116" customWidth="1"/>
    <col min="20" max="20" width="8.7109375" style="116"/>
  </cols>
  <sheetData>
    <row r="1" s="145" customFormat="1" ht="15.75"/>
    <row r="2" s="249" customFormat="1" ht="59.1" customHeight="1"/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I114"/>
  <sheetViews>
    <sheetView workbookViewId="0">
      <pane ySplit="3" topLeftCell="A101" activePane="bottomLeft" state="frozen"/>
      <selection pane="bottomLeft" activeCell="B101" sqref="B101:B112"/>
    </sheetView>
  </sheetViews>
  <sheetFormatPr defaultColWidth="9" defaultRowHeight="15"/>
  <cols>
    <col min="1" max="1" width="9.42578125" style="125" customWidth="1"/>
    <col min="2" max="2" width="31" customWidth="1"/>
    <col min="3" max="3" width="8" style="250" customWidth="1"/>
    <col min="4" max="4" width="9.28515625" customWidth="1"/>
    <col min="5" max="5" width="16.85546875" style="126" customWidth="1"/>
    <col min="6" max="12" width="12.85546875" style="126" customWidth="1"/>
    <col min="13" max="13" width="11.28515625" style="126" customWidth="1"/>
    <col min="14" max="14" width="12.140625" style="126" customWidth="1"/>
    <col min="15" max="15" width="12.42578125" style="126" customWidth="1"/>
    <col min="16" max="16" width="13.140625" style="126" customWidth="1"/>
    <col min="17" max="17" width="13.28515625" style="126" customWidth="1"/>
    <col min="18" max="19" width="10.85546875" style="126" customWidth="1"/>
    <col min="20" max="20" width="11.28515625" style="126" customWidth="1"/>
    <col min="21" max="21" width="12.42578125" style="126" customWidth="1"/>
    <col min="22" max="22" width="11.140625" style="126" customWidth="1"/>
    <col min="23" max="23" width="10.140625" style="126" customWidth="1"/>
    <col min="24" max="24" width="11.7109375" style="126" customWidth="1"/>
    <col min="25" max="25" width="13.140625" style="126" customWidth="1"/>
    <col min="26" max="27" width="12.140625" style="126" customWidth="1"/>
    <col min="28" max="28" width="11.140625" style="126" customWidth="1"/>
    <col min="29" max="29" width="11.5703125" style="126" customWidth="1"/>
    <col min="30" max="30" width="11.140625" style="126" customWidth="1"/>
    <col min="31" max="32" width="12.140625" style="126" customWidth="1"/>
    <col min="33" max="33" width="10.140625" style="126" customWidth="1"/>
    <col min="34" max="34" width="11.140625" style="126" customWidth="1"/>
    <col min="35" max="35" width="12.140625" style="126" customWidth="1"/>
    <col min="36" max="36" width="11.85546875" style="126" customWidth="1"/>
    <col min="37" max="37" width="11.140625" style="126" customWidth="1"/>
    <col min="38" max="38" width="12" style="126" customWidth="1"/>
    <col min="39" max="39" width="8.85546875" style="126" customWidth="1"/>
    <col min="40" max="40" width="14.42578125" style="126" customWidth="1"/>
    <col min="41" max="41" width="12.28515625" style="126" customWidth="1"/>
    <col min="42" max="42" width="13.42578125" style="126" customWidth="1"/>
    <col min="43" max="43" width="11.28515625" style="126" customWidth="1"/>
    <col min="44" max="44" width="10.140625" style="126" customWidth="1"/>
    <col min="45" max="45" width="10.5703125" style="126" customWidth="1"/>
    <col min="46" max="46" width="11.7109375" style="126" customWidth="1"/>
    <col min="47" max="47" width="11.5703125" style="126" customWidth="1"/>
    <col min="48" max="48" width="12.140625" style="126" customWidth="1"/>
    <col min="49" max="49" width="11.85546875" style="126" customWidth="1"/>
    <col min="50" max="50" width="10.85546875" style="126" customWidth="1"/>
    <col min="51" max="51" width="10.140625" style="126" customWidth="1"/>
    <col min="52" max="52" width="10.85546875" style="126" customWidth="1"/>
    <col min="53" max="53" width="12" style="126" customWidth="1"/>
    <col min="54" max="59" width="12.42578125" style="126" customWidth="1"/>
    <col min="60" max="60" width="17.140625" customWidth="1"/>
    <col min="61" max="61" width="10" customWidth="1"/>
  </cols>
  <sheetData>
    <row r="2" spans="1:61" s="145" customFormat="1" ht="15.75">
      <c r="A2" s="249"/>
      <c r="B2" s="330" t="s">
        <v>131</v>
      </c>
      <c r="C2" s="331"/>
      <c r="D2" s="331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  <c r="Z2" s="251"/>
      <c r="AA2" s="251"/>
      <c r="AB2" s="251"/>
      <c r="AC2" s="251"/>
      <c r="AD2" s="251"/>
      <c r="AE2" s="251"/>
      <c r="AF2" s="251"/>
      <c r="AG2" s="251"/>
      <c r="AH2" s="251"/>
      <c r="AI2" s="251"/>
      <c r="AJ2" s="251"/>
      <c r="AK2" s="251"/>
      <c r="AL2" s="251"/>
      <c r="AM2" s="251"/>
      <c r="AN2" s="251"/>
      <c r="AO2" s="251"/>
      <c r="AP2" s="251"/>
      <c r="AQ2" s="251"/>
      <c r="AR2" s="251"/>
      <c r="AS2" s="251"/>
      <c r="AT2" s="251"/>
      <c r="AU2" s="251"/>
      <c r="AV2" s="251"/>
      <c r="AW2" s="251"/>
      <c r="AX2" s="251"/>
      <c r="AY2" s="251"/>
      <c r="AZ2" s="251"/>
      <c r="BA2" s="251"/>
      <c r="BB2" s="251"/>
      <c r="BC2" s="251"/>
      <c r="BD2" s="251"/>
      <c r="BE2" s="251"/>
      <c r="BF2" s="251"/>
      <c r="BG2" s="251"/>
    </row>
    <row r="3" spans="1:61" s="1" customFormat="1" ht="45.95" customHeight="1">
      <c r="A3" s="252" t="s">
        <v>1</v>
      </c>
      <c r="B3" s="119" t="s">
        <v>2</v>
      </c>
      <c r="C3" s="253" t="s">
        <v>3</v>
      </c>
      <c r="D3" s="141" t="s">
        <v>4</v>
      </c>
      <c r="E3" s="142" t="s">
        <v>5</v>
      </c>
      <c r="F3" s="254" t="s">
        <v>37</v>
      </c>
      <c r="G3" s="254" t="s">
        <v>66</v>
      </c>
      <c r="H3" s="142" t="s">
        <v>132</v>
      </c>
      <c r="I3" s="120" t="s">
        <v>133</v>
      </c>
      <c r="J3" s="120" t="s">
        <v>134</v>
      </c>
      <c r="K3" s="120" t="s">
        <v>135</v>
      </c>
      <c r="L3" s="142" t="s">
        <v>68</v>
      </c>
      <c r="M3" s="120" t="s">
        <v>136</v>
      </c>
      <c r="N3" s="120" t="s">
        <v>137</v>
      </c>
      <c r="O3" s="142" t="s">
        <v>10</v>
      </c>
      <c r="P3" s="120" t="s">
        <v>15</v>
      </c>
      <c r="Q3" s="142" t="s">
        <v>138</v>
      </c>
      <c r="R3" s="142" t="s">
        <v>139</v>
      </c>
      <c r="S3" s="120" t="s">
        <v>140</v>
      </c>
      <c r="T3" s="120" t="s">
        <v>141</v>
      </c>
      <c r="U3" s="142" t="s">
        <v>40</v>
      </c>
      <c r="V3" s="142" t="s">
        <v>41</v>
      </c>
      <c r="W3" s="142" t="s">
        <v>59</v>
      </c>
      <c r="X3" s="142" t="s">
        <v>142</v>
      </c>
      <c r="Y3" s="120" t="s">
        <v>16</v>
      </c>
      <c r="Z3" s="142" t="s">
        <v>143</v>
      </c>
      <c r="AA3" s="142" t="s">
        <v>69</v>
      </c>
      <c r="AB3" s="142" t="s">
        <v>144</v>
      </c>
      <c r="AC3" s="120" t="s">
        <v>145</v>
      </c>
      <c r="AD3" s="120" t="s">
        <v>146</v>
      </c>
      <c r="AE3" s="142" t="s">
        <v>51</v>
      </c>
      <c r="AF3" s="120" t="s">
        <v>147</v>
      </c>
      <c r="AG3" s="120" t="s">
        <v>148</v>
      </c>
      <c r="AH3" s="120" t="s">
        <v>149</v>
      </c>
      <c r="AI3" s="142" t="s">
        <v>52</v>
      </c>
      <c r="AJ3" s="120" t="s">
        <v>150</v>
      </c>
      <c r="AK3" s="120" t="s">
        <v>12</v>
      </c>
      <c r="AL3" s="120" t="s">
        <v>151</v>
      </c>
      <c r="AM3" s="142" t="s">
        <v>14</v>
      </c>
      <c r="AN3" s="120" t="s">
        <v>152</v>
      </c>
      <c r="AO3" s="120" t="s">
        <v>46</v>
      </c>
      <c r="AP3" s="120" t="s">
        <v>153</v>
      </c>
      <c r="AQ3" s="120" t="s">
        <v>154</v>
      </c>
      <c r="AR3" s="120" t="s">
        <v>155</v>
      </c>
      <c r="AS3" s="120" t="s">
        <v>156</v>
      </c>
      <c r="AT3" s="120" t="s">
        <v>157</v>
      </c>
      <c r="AU3" s="120" t="s">
        <v>45</v>
      </c>
      <c r="AV3" s="120" t="s">
        <v>58</v>
      </c>
      <c r="AW3" s="142" t="s">
        <v>48</v>
      </c>
      <c r="AX3" s="120" t="s">
        <v>158</v>
      </c>
      <c r="AY3" s="120" t="s">
        <v>17</v>
      </c>
      <c r="AZ3" s="142" t="s">
        <v>159</v>
      </c>
      <c r="BA3" s="120" t="s">
        <v>160</v>
      </c>
      <c r="BB3" s="142" t="s">
        <v>161</v>
      </c>
      <c r="BC3" s="120" t="s">
        <v>57</v>
      </c>
      <c r="BD3" s="120" t="s">
        <v>72</v>
      </c>
      <c r="BE3" s="120" t="s">
        <v>7</v>
      </c>
      <c r="BF3" s="120" t="s">
        <v>162</v>
      </c>
      <c r="BG3" s="120" t="s">
        <v>163</v>
      </c>
      <c r="BH3" s="141" t="s">
        <v>5</v>
      </c>
    </row>
    <row r="4" spans="1:61" s="244" customFormat="1" ht="18.600000000000001" customHeight="1">
      <c r="A4" s="255">
        <v>46083</v>
      </c>
      <c r="B4" s="256" t="s">
        <v>164</v>
      </c>
      <c r="C4" s="257">
        <v>7440</v>
      </c>
      <c r="D4" s="258">
        <v>10521</v>
      </c>
      <c r="E4" s="259">
        <v>540000</v>
      </c>
      <c r="F4" s="259"/>
      <c r="G4" s="259"/>
      <c r="H4" s="259"/>
      <c r="I4" s="259"/>
      <c r="J4" s="259"/>
      <c r="K4" s="259"/>
      <c r="L4" s="259"/>
      <c r="M4" s="260"/>
      <c r="N4" s="260"/>
      <c r="O4" s="259"/>
      <c r="P4" s="260"/>
      <c r="Q4" s="259"/>
      <c r="R4" s="259"/>
      <c r="S4" s="260"/>
      <c r="T4" s="260"/>
      <c r="U4" s="259"/>
      <c r="V4" s="259"/>
      <c r="W4" s="259"/>
      <c r="X4" s="259"/>
      <c r="Y4" s="260"/>
      <c r="Z4" s="259"/>
      <c r="AA4" s="259"/>
      <c r="AB4" s="259"/>
      <c r="AC4" s="260"/>
      <c r="AD4" s="259"/>
      <c r="AE4" s="259"/>
      <c r="AF4" s="260"/>
      <c r="AG4" s="260"/>
      <c r="AH4" s="260"/>
      <c r="AI4" s="259"/>
      <c r="AJ4" s="260"/>
      <c r="AK4" s="259">
        <v>540000</v>
      </c>
      <c r="AL4" s="259"/>
      <c r="AM4" s="259"/>
      <c r="AN4" s="259"/>
      <c r="AO4" s="259"/>
      <c r="AP4" s="259"/>
      <c r="AQ4" s="259"/>
      <c r="AR4" s="259"/>
      <c r="AS4" s="259"/>
      <c r="AT4" s="259"/>
      <c r="AU4" s="259"/>
      <c r="AV4" s="259"/>
      <c r="AW4" s="259"/>
      <c r="AX4" s="259"/>
      <c r="AY4" s="259"/>
      <c r="AZ4" s="259"/>
      <c r="BA4" s="259"/>
      <c r="BB4" s="259"/>
      <c r="BC4" s="259"/>
      <c r="BD4" s="259"/>
      <c r="BE4" s="259"/>
      <c r="BF4" s="259"/>
      <c r="BG4" s="259"/>
      <c r="BH4" s="261">
        <f>F4+H4+I4+J4+K4+L4+M4+N4+O4+P4+Q4+R4+S4+T4+U4+V4+W4+X4+Y4+Z4+AA4+AB4+AC4+AD4+AE4+AF4+AG4+AH4+AI4+AJ4+AK4+AL4+AM4+AN4+AO4+AP4+AQ4+AR4+AS4+AT4+AU4+AV4+AW4+AX4+AY4+AZ4+BA4+BB4+BC4+BD4+BE4+BF4+BG4</f>
        <v>540000</v>
      </c>
    </row>
    <row r="5" spans="1:61" s="244" customFormat="1">
      <c r="A5" s="255">
        <v>46083</v>
      </c>
      <c r="B5" s="258" t="s">
        <v>165</v>
      </c>
      <c r="C5" s="257">
        <v>7488</v>
      </c>
      <c r="D5" s="258">
        <v>9561</v>
      </c>
      <c r="E5" s="259">
        <v>2144000</v>
      </c>
      <c r="F5" s="259"/>
      <c r="G5" s="259"/>
      <c r="H5" s="259"/>
      <c r="I5" s="259"/>
      <c r="J5" s="259"/>
      <c r="K5" s="259"/>
      <c r="L5" s="259"/>
      <c r="M5" s="259"/>
      <c r="N5" s="259"/>
      <c r="O5" s="259"/>
      <c r="P5" s="259"/>
      <c r="Q5" s="259"/>
      <c r="R5" s="259"/>
      <c r="S5" s="259"/>
      <c r="T5" s="259"/>
      <c r="U5" s="259"/>
      <c r="V5" s="259"/>
      <c r="W5" s="259"/>
      <c r="X5" s="259"/>
      <c r="Y5" s="259"/>
      <c r="Z5" s="259"/>
      <c r="AA5" s="259"/>
      <c r="AB5" s="259"/>
      <c r="AC5" s="259"/>
      <c r="AD5" s="259"/>
      <c r="AE5" s="259"/>
      <c r="AF5" s="259"/>
      <c r="AG5" s="259"/>
      <c r="AH5" s="259"/>
      <c r="AI5" s="259"/>
      <c r="AJ5" s="259"/>
      <c r="AK5" s="259"/>
      <c r="AL5" s="259"/>
      <c r="AM5" s="259"/>
      <c r="AN5" s="259"/>
      <c r="AO5" s="259"/>
      <c r="AP5" s="259"/>
      <c r="AQ5" s="259"/>
      <c r="AR5" s="259"/>
      <c r="AS5" s="259"/>
      <c r="AT5" s="259"/>
      <c r="AU5" s="259"/>
      <c r="AV5" s="262">
        <v>2144000</v>
      </c>
      <c r="AW5" s="259"/>
      <c r="AX5" s="259"/>
      <c r="AY5" s="259"/>
      <c r="AZ5" s="259"/>
      <c r="BA5" s="258"/>
      <c r="BB5" s="259"/>
      <c r="BC5" s="259"/>
      <c r="BD5" s="259"/>
      <c r="BE5" s="259"/>
      <c r="BF5" s="259"/>
      <c r="BG5" s="259"/>
      <c r="BH5" s="261">
        <f t="shared" ref="BH5:BH68" si="0">F5+H5+I5+J5+K5+L5+M5+N5+O5+P5+Q5+R5+S5+T5+U5+V5+W5+X5+Y5+Z5+AA5+AB5+AC5+AD5+AE5+AF5+AG5+AH5+AI5+AJ5+AK5+AL5+AM5+AN5+AO5+AP5+AQ5+AR5+AS5+AT5+AU5+AV5+AW5+AX5+AY5+AZ5+BA5+BB5+BC5+BD5+BE5+BF5+BG5</f>
        <v>2144000</v>
      </c>
      <c r="BI5" s="263"/>
    </row>
    <row r="6" spans="1:61" s="244" customFormat="1">
      <c r="A6" s="255">
        <v>46084</v>
      </c>
      <c r="B6" s="258" t="s">
        <v>166</v>
      </c>
      <c r="C6" s="257">
        <v>7436</v>
      </c>
      <c r="D6" s="258">
        <v>11496</v>
      </c>
      <c r="E6" s="259">
        <v>1690000</v>
      </c>
      <c r="F6" s="259"/>
      <c r="G6" s="259"/>
      <c r="H6" s="259"/>
      <c r="I6" s="259"/>
      <c r="J6" s="259"/>
      <c r="K6" s="259"/>
      <c r="L6" s="259"/>
      <c r="M6" s="259"/>
      <c r="N6" s="259"/>
      <c r="O6" s="259"/>
      <c r="P6" s="259"/>
      <c r="Q6" s="259"/>
      <c r="R6" s="259"/>
      <c r="S6" s="259"/>
      <c r="T6" s="259"/>
      <c r="U6" s="259"/>
      <c r="V6" s="259"/>
      <c r="W6" s="259"/>
      <c r="X6" s="259"/>
      <c r="Y6" s="259"/>
      <c r="Z6" s="259"/>
      <c r="AA6" s="259"/>
      <c r="AB6" s="259"/>
      <c r="AC6" s="259"/>
      <c r="AD6" s="259"/>
      <c r="AE6" s="259"/>
      <c r="AF6" s="259"/>
      <c r="AG6" s="259"/>
      <c r="AH6" s="259"/>
      <c r="AI6" s="259"/>
      <c r="AJ6" s="259"/>
      <c r="AK6" s="259"/>
      <c r="AL6" s="259"/>
      <c r="AM6" s="259"/>
      <c r="AN6" s="259"/>
      <c r="AO6" s="259"/>
      <c r="AP6" s="259"/>
      <c r="AQ6" s="259"/>
      <c r="AR6" s="259"/>
      <c r="AS6" s="259"/>
      <c r="AT6" s="259"/>
      <c r="AU6" s="259"/>
      <c r="AV6" s="259"/>
      <c r="AW6" s="259"/>
      <c r="AX6" s="259"/>
      <c r="AY6" s="259"/>
      <c r="AZ6" s="259"/>
      <c r="BA6" s="262"/>
      <c r="BB6" s="259"/>
      <c r="BC6" s="259">
        <v>1690000</v>
      </c>
      <c r="BD6" s="259"/>
      <c r="BE6" s="259"/>
      <c r="BF6" s="259"/>
      <c r="BG6" s="259"/>
      <c r="BH6" s="261">
        <f t="shared" si="0"/>
        <v>1690000</v>
      </c>
      <c r="BI6" s="263"/>
    </row>
    <row r="7" spans="1:61" s="244" customFormat="1">
      <c r="A7" s="255">
        <v>46084</v>
      </c>
      <c r="B7" s="258" t="s">
        <v>167</v>
      </c>
      <c r="C7" s="257">
        <v>7477</v>
      </c>
      <c r="D7" s="258">
        <v>9613</v>
      </c>
      <c r="E7" s="259">
        <v>4700000</v>
      </c>
      <c r="F7" s="259"/>
      <c r="G7" s="259"/>
      <c r="H7" s="259"/>
      <c r="I7" s="259"/>
      <c r="J7" s="259"/>
      <c r="K7" s="259"/>
      <c r="L7" s="259"/>
      <c r="M7" s="259"/>
      <c r="N7" s="259"/>
      <c r="O7" s="259"/>
      <c r="P7" s="259"/>
      <c r="Q7" s="259"/>
      <c r="R7" s="259"/>
      <c r="S7" s="259"/>
      <c r="T7" s="259"/>
      <c r="U7" s="259"/>
      <c r="V7" s="259"/>
      <c r="W7" s="259"/>
      <c r="X7" s="259"/>
      <c r="Y7" s="259"/>
      <c r="Z7" s="259"/>
      <c r="AA7" s="259"/>
      <c r="AB7" s="259"/>
      <c r="AC7" s="259"/>
      <c r="AD7" s="259"/>
      <c r="AE7" s="259"/>
      <c r="AF7" s="259"/>
      <c r="AG7" s="259"/>
      <c r="AH7" s="259"/>
      <c r="AI7" s="259"/>
      <c r="AJ7" s="259"/>
      <c r="AK7" s="259"/>
      <c r="AL7" s="259"/>
      <c r="AM7" s="259"/>
      <c r="AN7" s="259"/>
      <c r="AO7" s="259"/>
      <c r="AP7" s="259"/>
      <c r="AQ7" s="259"/>
      <c r="AR7" s="259"/>
      <c r="AS7" s="259"/>
      <c r="AT7" s="259">
        <v>5000000</v>
      </c>
      <c r="AU7" s="259"/>
      <c r="AV7" s="259"/>
      <c r="AW7" s="259"/>
      <c r="AX7" s="259"/>
      <c r="AY7" s="259"/>
      <c r="AZ7" s="259"/>
      <c r="BA7" s="262">
        <f>F7+H7+I7+J7+K7+L7+M7+N7+O7+P7+Q7+R7+S7+T7+U7+V7+W7+X7+Y7+Z7+AA7+AB7+AE7+AF7+AG7+AH7+AI7+AJ7+AK7+AL7+AM7+AN7+AO7+AP7+AQ7+AR7+AS7+AU7+AV7+AW7+AX7+0</f>
        <v>0</v>
      </c>
      <c r="BB7" s="259"/>
      <c r="BC7" s="259"/>
      <c r="BD7" s="259"/>
      <c r="BE7" s="259"/>
      <c r="BF7" s="259"/>
      <c r="BG7" s="259"/>
      <c r="BH7" s="261">
        <f t="shared" si="0"/>
        <v>5000000</v>
      </c>
    </row>
    <row r="8" spans="1:61" s="244" customFormat="1">
      <c r="A8" s="255">
        <v>46084</v>
      </c>
      <c r="B8" s="258" t="s">
        <v>168</v>
      </c>
      <c r="C8" s="257">
        <v>7474</v>
      </c>
      <c r="D8" s="258"/>
      <c r="E8" s="259">
        <v>10000000</v>
      </c>
      <c r="F8" s="259"/>
      <c r="G8" s="259"/>
      <c r="H8" s="259"/>
      <c r="I8" s="259"/>
      <c r="J8" s="259"/>
      <c r="K8" s="259"/>
      <c r="L8" s="259"/>
      <c r="M8" s="259"/>
      <c r="N8" s="259"/>
      <c r="O8" s="259"/>
      <c r="P8" s="259"/>
      <c r="Q8" s="259"/>
      <c r="R8" s="259"/>
      <c r="S8" s="259"/>
      <c r="T8" s="259"/>
      <c r="U8" s="259"/>
      <c r="V8" s="259"/>
      <c r="W8" s="259"/>
      <c r="X8" s="259"/>
      <c r="Y8" s="259"/>
      <c r="Z8" s="259"/>
      <c r="AA8" s="259"/>
      <c r="AB8" s="259"/>
      <c r="AC8" s="259"/>
      <c r="AD8" s="259"/>
      <c r="AE8" s="259"/>
      <c r="AF8" s="259"/>
      <c r="AG8" s="259"/>
      <c r="AH8" s="259"/>
      <c r="AI8" s="259"/>
      <c r="AJ8" s="259"/>
      <c r="AK8" s="259"/>
      <c r="AL8" s="259"/>
      <c r="AM8" s="259"/>
      <c r="AN8" s="259"/>
      <c r="AO8" s="259"/>
      <c r="AP8" s="259"/>
      <c r="AQ8" s="259"/>
      <c r="AR8" s="259"/>
      <c r="AS8" s="259"/>
      <c r="AT8" s="259"/>
      <c r="AU8" s="259"/>
      <c r="AV8" s="259"/>
      <c r="AW8" s="259"/>
      <c r="AX8" s="259"/>
      <c r="AY8" s="259"/>
      <c r="AZ8" s="259"/>
      <c r="BA8" s="262"/>
      <c r="BB8" s="259"/>
      <c r="BC8" s="259"/>
      <c r="BD8" s="259"/>
      <c r="BE8" s="259"/>
      <c r="BF8" s="259"/>
      <c r="BG8" s="259"/>
      <c r="BH8" s="261">
        <f t="shared" si="0"/>
        <v>0</v>
      </c>
    </row>
    <row r="9" spans="1:61" s="244" customFormat="1">
      <c r="A9" s="255">
        <v>46084</v>
      </c>
      <c r="B9" s="258" t="s">
        <v>168</v>
      </c>
      <c r="C9" s="257">
        <v>7475</v>
      </c>
      <c r="D9" s="258"/>
      <c r="E9" s="259">
        <v>8800000</v>
      </c>
      <c r="F9" s="259"/>
      <c r="G9" s="259"/>
      <c r="H9" s="259"/>
      <c r="I9" s="259"/>
      <c r="J9" s="259"/>
      <c r="K9" s="259"/>
      <c r="L9" s="259"/>
      <c r="M9" s="259"/>
      <c r="N9" s="259"/>
      <c r="O9" s="259"/>
      <c r="P9" s="259"/>
      <c r="Q9" s="259"/>
      <c r="R9" s="259"/>
      <c r="S9" s="259"/>
      <c r="T9" s="259">
        <v>20000000</v>
      </c>
      <c r="U9" s="259"/>
      <c r="V9" s="259"/>
      <c r="W9" s="259"/>
      <c r="X9" s="259"/>
      <c r="Y9" s="259"/>
      <c r="Z9" s="259"/>
      <c r="AA9" s="259"/>
      <c r="AB9" s="259"/>
      <c r="AC9" s="259"/>
      <c r="AD9" s="259"/>
      <c r="AE9" s="259"/>
      <c r="AF9" s="259"/>
      <c r="AG9" s="259"/>
      <c r="AH9" s="259"/>
      <c r="AI9" s="259"/>
      <c r="AJ9" s="259"/>
      <c r="AK9" s="259"/>
      <c r="AL9" s="259"/>
      <c r="AM9" s="259"/>
      <c r="AN9" s="259"/>
      <c r="AO9" s="259"/>
      <c r="AP9" s="259"/>
      <c r="AQ9" s="259"/>
      <c r="AR9" s="259"/>
      <c r="AS9" s="259"/>
      <c r="AT9" s="259"/>
      <c r="AU9" s="259"/>
      <c r="AV9" s="259"/>
      <c r="AW9" s="259"/>
      <c r="AX9" s="259"/>
      <c r="AY9" s="259"/>
      <c r="AZ9" s="259"/>
      <c r="BA9" s="262"/>
      <c r="BB9" s="259"/>
      <c r="BC9" s="259"/>
      <c r="BD9" s="259"/>
      <c r="BE9" s="259"/>
      <c r="BF9" s="259"/>
      <c r="BG9" s="259"/>
      <c r="BH9" s="261">
        <f t="shared" si="0"/>
        <v>20000000</v>
      </c>
    </row>
    <row r="10" spans="1:61" s="245" customFormat="1">
      <c r="A10" s="264">
        <v>46084</v>
      </c>
      <c r="B10" s="265" t="s">
        <v>169</v>
      </c>
      <c r="C10" s="266">
        <v>7345</v>
      </c>
      <c r="D10" s="265"/>
      <c r="E10" s="267">
        <v>51700000</v>
      </c>
      <c r="F10" s="267"/>
      <c r="G10" s="267"/>
      <c r="H10" s="267"/>
      <c r="I10" s="267"/>
      <c r="J10" s="267"/>
      <c r="K10" s="267"/>
      <c r="L10" s="267"/>
      <c r="M10" s="267"/>
      <c r="N10" s="267"/>
      <c r="O10" s="267"/>
      <c r="P10" s="267"/>
      <c r="Q10" s="267"/>
      <c r="R10" s="267"/>
      <c r="S10" s="267"/>
      <c r="T10" s="267"/>
      <c r="U10" s="267"/>
      <c r="V10" s="267"/>
      <c r="W10" s="267"/>
      <c r="X10" s="267"/>
      <c r="Y10" s="267"/>
      <c r="Z10" s="267"/>
      <c r="AA10" s="267"/>
      <c r="AB10" s="267"/>
      <c r="AC10" s="267"/>
      <c r="AD10" s="267"/>
      <c r="AE10" s="267"/>
      <c r="AF10" s="267"/>
      <c r="AG10" s="267"/>
      <c r="AH10" s="267"/>
      <c r="AI10" s="267"/>
      <c r="AJ10" s="267"/>
      <c r="AK10" s="267"/>
      <c r="AL10" s="267"/>
      <c r="AM10" s="267"/>
      <c r="AN10" s="267"/>
      <c r="AO10" s="267"/>
      <c r="AP10" s="267"/>
      <c r="AQ10" s="267"/>
      <c r="AR10" s="267"/>
      <c r="AS10" s="267"/>
      <c r="AT10" s="267"/>
      <c r="AU10" s="267"/>
      <c r="AV10" s="267"/>
      <c r="AW10" s="267"/>
      <c r="AX10" s="267"/>
      <c r="AY10" s="267"/>
      <c r="AZ10" s="267"/>
      <c r="BA10" s="268"/>
      <c r="BB10" s="267"/>
      <c r="BC10" s="267"/>
      <c r="BE10" s="267"/>
      <c r="BF10" s="267"/>
      <c r="BG10" s="267">
        <v>51700000</v>
      </c>
      <c r="BH10" s="261">
        <f t="shared" si="0"/>
        <v>51700000</v>
      </c>
    </row>
    <row r="11" spans="1:61" s="244" customFormat="1">
      <c r="A11" s="255">
        <v>45720</v>
      </c>
      <c r="B11" s="258" t="s">
        <v>170</v>
      </c>
      <c r="C11" s="257">
        <v>7476</v>
      </c>
      <c r="D11" s="258"/>
      <c r="E11" s="259">
        <v>600000</v>
      </c>
      <c r="F11" s="259"/>
      <c r="G11" s="259"/>
      <c r="H11" s="259"/>
      <c r="I11" s="259">
        <v>600000</v>
      </c>
      <c r="J11" s="259"/>
      <c r="K11" s="259"/>
      <c r="L11" s="259"/>
      <c r="M11" s="259"/>
      <c r="N11" s="259"/>
      <c r="O11" s="259"/>
      <c r="P11" s="259"/>
      <c r="Q11" s="259"/>
      <c r="R11" s="259"/>
      <c r="S11" s="259"/>
      <c r="T11" s="259"/>
      <c r="U11" s="259"/>
      <c r="V11" s="259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59"/>
      <c r="AW11" s="259"/>
      <c r="AX11" s="259"/>
      <c r="AY11" s="259"/>
      <c r="AZ11" s="259"/>
      <c r="BA11" s="262"/>
      <c r="BB11" s="259"/>
      <c r="BC11" s="259"/>
      <c r="BD11" s="259"/>
      <c r="BE11" s="259"/>
      <c r="BF11" s="259"/>
      <c r="BG11" s="259"/>
      <c r="BH11" s="261">
        <f t="shared" si="0"/>
        <v>600000</v>
      </c>
    </row>
    <row r="12" spans="1:61" s="244" customFormat="1">
      <c r="A12" s="255">
        <v>45720</v>
      </c>
      <c r="B12" s="258" t="s">
        <v>171</v>
      </c>
      <c r="C12" s="257">
        <v>7471</v>
      </c>
      <c r="D12" s="258"/>
      <c r="E12" s="259">
        <v>1500000</v>
      </c>
      <c r="F12" s="259"/>
      <c r="G12" s="259"/>
      <c r="H12" s="259"/>
      <c r="I12" s="259"/>
      <c r="J12" s="259"/>
      <c r="K12" s="259"/>
      <c r="L12" s="259"/>
      <c r="M12" s="259"/>
      <c r="N12" s="259"/>
      <c r="O12" s="259"/>
      <c r="P12" s="259"/>
      <c r="Q12" s="259"/>
      <c r="R12" s="259"/>
      <c r="S12" s="259"/>
      <c r="T12" s="259"/>
      <c r="U12" s="259"/>
      <c r="V12" s="259"/>
      <c r="W12" s="259"/>
      <c r="X12" s="259"/>
      <c r="Y12" s="259"/>
      <c r="Z12" s="259"/>
      <c r="AA12" s="259"/>
      <c r="AB12" s="259"/>
      <c r="AC12" s="259"/>
      <c r="AD12" s="259"/>
      <c r="AE12" s="259"/>
      <c r="AF12" s="259"/>
      <c r="AG12" s="259"/>
      <c r="AH12" s="259"/>
      <c r="AI12" s="259"/>
      <c r="AJ12" s="259"/>
      <c r="AK12" s="259"/>
      <c r="AL12" s="259"/>
      <c r="AM12" s="259"/>
      <c r="AN12" s="259"/>
      <c r="AO12" s="259">
        <v>1500000</v>
      </c>
      <c r="AP12" s="259"/>
      <c r="AQ12" s="259"/>
      <c r="AR12" s="259"/>
      <c r="AS12" s="259"/>
      <c r="AT12" s="259"/>
      <c r="AU12" s="259"/>
      <c r="AV12" s="259"/>
      <c r="AW12" s="259"/>
      <c r="AX12" s="259"/>
      <c r="AY12" s="259"/>
      <c r="AZ12" s="259"/>
      <c r="BA12" s="262"/>
      <c r="BB12" s="259"/>
      <c r="BC12" s="259"/>
      <c r="BD12" s="259"/>
      <c r="BE12" s="259"/>
      <c r="BF12" s="259"/>
      <c r="BG12" s="259"/>
      <c r="BH12" s="261">
        <f t="shared" si="0"/>
        <v>1500000</v>
      </c>
    </row>
    <row r="13" spans="1:61" s="244" customFormat="1">
      <c r="A13" s="255">
        <v>46085</v>
      </c>
      <c r="B13" s="258" t="s">
        <v>172</v>
      </c>
      <c r="C13" s="257">
        <v>7500</v>
      </c>
      <c r="D13" s="258"/>
      <c r="E13" s="259">
        <v>190350000</v>
      </c>
      <c r="F13" s="259"/>
      <c r="G13" s="259"/>
      <c r="H13" s="259"/>
      <c r="I13" s="259"/>
      <c r="J13" s="259"/>
      <c r="K13" s="259"/>
      <c r="L13" s="259"/>
      <c r="M13" s="259"/>
      <c r="N13" s="259"/>
      <c r="O13" s="259"/>
      <c r="P13" s="259"/>
      <c r="Q13" s="259"/>
      <c r="R13" s="259"/>
      <c r="S13" s="259"/>
      <c r="T13" s="259"/>
      <c r="U13" s="259"/>
      <c r="V13" s="259"/>
      <c r="W13" s="259"/>
      <c r="X13" s="259"/>
      <c r="Y13" s="259"/>
      <c r="Z13" s="259">
        <v>82500000</v>
      </c>
      <c r="AA13" s="259">
        <v>120000000</v>
      </c>
      <c r="AB13" s="259"/>
      <c r="AC13" s="259"/>
      <c r="AD13" s="259"/>
      <c r="AE13" s="259"/>
      <c r="AF13" s="259"/>
      <c r="AG13" s="259"/>
      <c r="AH13" s="259"/>
      <c r="AI13" s="259"/>
      <c r="AJ13" s="259"/>
      <c r="AK13" s="259"/>
      <c r="AL13" s="259"/>
      <c r="AM13" s="259"/>
      <c r="AN13" s="259"/>
      <c r="AO13" s="259"/>
      <c r="AP13" s="259"/>
      <c r="AQ13" s="259"/>
      <c r="AR13" s="259"/>
      <c r="AS13" s="259"/>
      <c r="AT13" s="259"/>
      <c r="AU13" s="259"/>
      <c r="AV13" s="259"/>
      <c r="AW13" s="259"/>
      <c r="AX13" s="259"/>
      <c r="AY13" s="259"/>
      <c r="AZ13" s="259"/>
      <c r="BA13" s="262"/>
      <c r="BB13" s="259"/>
      <c r="BC13" s="259"/>
      <c r="BD13" s="259"/>
      <c r="BE13" s="259"/>
      <c r="BF13" s="259"/>
      <c r="BG13" s="259"/>
      <c r="BH13" s="261">
        <f t="shared" si="0"/>
        <v>202500000</v>
      </c>
    </row>
    <row r="14" spans="1:61" s="244" customFormat="1">
      <c r="A14" s="269">
        <v>46085</v>
      </c>
      <c r="B14" s="258" t="s">
        <v>74</v>
      </c>
      <c r="C14" s="257">
        <v>7454</v>
      </c>
      <c r="D14" s="258">
        <v>11489</v>
      </c>
      <c r="E14" s="259">
        <v>1350000</v>
      </c>
      <c r="F14" s="259"/>
      <c r="G14" s="259"/>
      <c r="H14" s="259"/>
      <c r="I14" s="259"/>
      <c r="J14" s="259"/>
      <c r="K14" s="259"/>
      <c r="L14" s="259"/>
      <c r="M14" s="259"/>
      <c r="N14" s="259"/>
      <c r="O14" s="259"/>
      <c r="P14" s="259"/>
      <c r="Q14" s="259"/>
      <c r="R14" s="259"/>
      <c r="S14" s="259"/>
      <c r="T14" s="259"/>
      <c r="U14" s="259"/>
      <c r="V14" s="259"/>
      <c r="W14" s="259"/>
      <c r="X14" s="259"/>
      <c r="Y14" s="259"/>
      <c r="Z14" s="259"/>
      <c r="AA14" s="259"/>
      <c r="AB14" s="259"/>
      <c r="AC14" s="259"/>
      <c r="AD14" s="259"/>
      <c r="AE14" s="259"/>
      <c r="AF14" s="259"/>
      <c r="AG14" s="259"/>
      <c r="AH14" s="259"/>
      <c r="AI14" s="259"/>
      <c r="AJ14" s="259"/>
      <c r="AK14" s="259"/>
      <c r="AL14" s="259"/>
      <c r="AM14" s="259"/>
      <c r="AN14" s="259"/>
      <c r="AO14" s="259"/>
      <c r="AP14" s="259"/>
      <c r="AQ14" s="259"/>
      <c r="AR14" s="259"/>
      <c r="AS14" s="259"/>
      <c r="AT14" s="259"/>
      <c r="AU14" s="259">
        <v>1350000</v>
      </c>
      <c r="AV14" s="259"/>
      <c r="AW14" s="259"/>
      <c r="AX14" s="259"/>
      <c r="AY14" s="259"/>
      <c r="AZ14" s="262"/>
      <c r="BA14" s="259"/>
      <c r="BB14" s="259"/>
      <c r="BC14" s="259"/>
      <c r="BD14" s="258"/>
      <c r="BE14" s="258"/>
      <c r="BF14" s="258"/>
      <c r="BG14" s="258"/>
      <c r="BH14" s="261">
        <f t="shared" si="0"/>
        <v>1350000</v>
      </c>
    </row>
    <row r="15" spans="1:61" s="244" customFormat="1">
      <c r="A15" s="255">
        <v>46087</v>
      </c>
      <c r="B15" s="258" t="s">
        <v>93</v>
      </c>
      <c r="C15" s="257">
        <v>7483</v>
      </c>
      <c r="D15" s="258"/>
      <c r="E15" s="259">
        <v>6000000</v>
      </c>
      <c r="F15" s="259"/>
      <c r="G15" s="259"/>
      <c r="H15" s="259"/>
      <c r="I15" s="259"/>
      <c r="J15" s="259"/>
      <c r="K15" s="259"/>
      <c r="L15" s="259"/>
      <c r="M15" s="259"/>
      <c r="N15" s="259"/>
      <c r="O15" s="259"/>
      <c r="P15" s="259"/>
      <c r="Q15" s="259"/>
      <c r="R15" s="259"/>
      <c r="S15" s="259"/>
      <c r="T15" s="259"/>
      <c r="U15" s="259"/>
      <c r="V15" s="259"/>
      <c r="W15" s="259"/>
      <c r="X15" s="259"/>
      <c r="Y15" s="259"/>
      <c r="Z15" s="259"/>
      <c r="AA15" s="259"/>
      <c r="AB15" s="259"/>
      <c r="AC15" s="259"/>
      <c r="AD15" s="259"/>
      <c r="AE15" s="259"/>
      <c r="AF15" s="259"/>
      <c r="AG15" s="259"/>
      <c r="AH15" s="259"/>
      <c r="AI15" s="259"/>
      <c r="AJ15" s="259"/>
      <c r="AK15" s="259"/>
      <c r="AL15" s="259"/>
      <c r="AM15" s="259"/>
      <c r="AN15" s="259"/>
      <c r="AO15" s="259"/>
      <c r="AP15" s="259"/>
      <c r="AQ15" s="259"/>
      <c r="AR15" s="259"/>
      <c r="AS15" s="259"/>
      <c r="AT15" s="259"/>
      <c r="AU15" s="259"/>
      <c r="AV15" s="259"/>
      <c r="AW15" s="259"/>
      <c r="AX15" s="259"/>
      <c r="AY15" s="259"/>
      <c r="AZ15" s="259"/>
      <c r="BA15" s="262"/>
      <c r="BB15" s="259"/>
      <c r="BC15" s="259">
        <v>6000000</v>
      </c>
      <c r="BD15" s="259"/>
      <c r="BE15" s="259"/>
      <c r="BF15" s="259"/>
      <c r="BG15" s="259"/>
      <c r="BH15" s="261">
        <f t="shared" si="0"/>
        <v>6000000</v>
      </c>
    </row>
    <row r="16" spans="1:61" s="244" customFormat="1" ht="18.600000000000001" customHeight="1">
      <c r="A16" s="255">
        <v>46086</v>
      </c>
      <c r="B16" s="256" t="s">
        <v>82</v>
      </c>
      <c r="C16" s="257">
        <v>7498</v>
      </c>
      <c r="D16" s="258">
        <v>9528</v>
      </c>
      <c r="E16" s="259">
        <v>11922000</v>
      </c>
      <c r="F16" s="259"/>
      <c r="G16" s="259"/>
      <c r="H16" s="259"/>
      <c r="I16" s="259"/>
      <c r="J16" s="259"/>
      <c r="K16" s="259"/>
      <c r="L16" s="259"/>
      <c r="M16" s="260"/>
      <c r="N16" s="260"/>
      <c r="O16" s="259"/>
      <c r="P16" s="260"/>
      <c r="Q16" s="259"/>
      <c r="R16" s="259"/>
      <c r="S16" s="260"/>
      <c r="T16" s="260"/>
      <c r="U16" s="259">
        <f>2145000+2145000+50000</f>
        <v>4340000</v>
      </c>
      <c r="V16" s="259">
        <f>796000</f>
        <v>796000</v>
      </c>
      <c r="W16" s="259">
        <f>540000</f>
        <v>540000</v>
      </c>
      <c r="X16" s="259"/>
      <c r="Y16" s="260"/>
      <c r="Z16" s="259"/>
      <c r="AA16" s="259"/>
      <c r="AB16" s="259"/>
      <c r="AC16" s="259"/>
      <c r="AD16" s="259"/>
      <c r="AE16" s="259">
        <f>2496000</f>
        <v>2496000</v>
      </c>
      <c r="AF16" s="259">
        <f>3250000</f>
        <v>3250000</v>
      </c>
      <c r="AG16" s="260"/>
      <c r="AH16" s="260"/>
      <c r="AI16" s="259">
        <f>500000</f>
        <v>500000</v>
      </c>
      <c r="AJ16" s="259"/>
      <c r="AK16" s="259"/>
      <c r="AL16" s="259"/>
      <c r="AM16" s="259"/>
      <c r="AN16" s="259"/>
      <c r="AO16" s="259"/>
      <c r="AP16" s="259"/>
      <c r="AQ16" s="259"/>
      <c r="AR16" s="259"/>
      <c r="AS16" s="259"/>
      <c r="AT16" s="259"/>
      <c r="AU16" s="259"/>
      <c r="AV16" s="259"/>
      <c r="AW16" s="259"/>
      <c r="AX16" s="259"/>
      <c r="AY16" s="259"/>
      <c r="AZ16" s="259"/>
      <c r="BA16" s="259"/>
      <c r="BB16" s="259"/>
      <c r="BC16" s="259"/>
      <c r="BD16" s="259"/>
      <c r="BE16" s="259"/>
      <c r="BF16" s="259"/>
      <c r="BG16" s="259"/>
      <c r="BH16" s="261">
        <f t="shared" si="0"/>
        <v>11922000</v>
      </c>
    </row>
    <row r="17" spans="1:61" s="244" customFormat="1" ht="18.95" customHeight="1">
      <c r="A17" s="255">
        <v>46087</v>
      </c>
      <c r="B17" s="256" t="s">
        <v>30</v>
      </c>
      <c r="C17" s="257">
        <v>7484</v>
      </c>
      <c r="D17" s="258">
        <v>11187</v>
      </c>
      <c r="E17" s="259">
        <v>10115000</v>
      </c>
      <c r="F17" s="259"/>
      <c r="G17" s="259"/>
      <c r="H17" s="259"/>
      <c r="I17" s="259"/>
      <c r="J17" s="259"/>
      <c r="K17" s="259"/>
      <c r="L17" s="259"/>
      <c r="M17" s="260"/>
      <c r="N17" s="260"/>
      <c r="O17" s="259"/>
      <c r="P17" s="260"/>
      <c r="Q17" s="259">
        <v>2155000</v>
      </c>
      <c r="R17" s="259"/>
      <c r="S17" s="260"/>
      <c r="T17" s="260"/>
      <c r="U17" s="259"/>
      <c r="V17" s="259"/>
      <c r="W17" s="259"/>
      <c r="X17" s="259"/>
      <c r="Y17" s="260"/>
      <c r="Z17" s="259"/>
      <c r="AA17" s="259"/>
      <c r="AB17" s="259"/>
      <c r="AC17" s="259"/>
      <c r="AD17" s="259"/>
      <c r="AE17" s="259"/>
      <c r="AF17" s="259"/>
      <c r="AG17" s="260"/>
      <c r="AH17" s="260"/>
      <c r="AI17" s="259"/>
      <c r="AJ17" s="259">
        <v>7960000</v>
      </c>
      <c r="AK17" s="259"/>
      <c r="AL17" s="259"/>
      <c r="AM17" s="259"/>
      <c r="AN17" s="259"/>
      <c r="AO17" s="259"/>
      <c r="AP17" s="259"/>
      <c r="AQ17" s="259"/>
      <c r="AR17" s="259"/>
      <c r="AS17" s="259"/>
      <c r="AT17" s="259"/>
      <c r="AU17" s="259"/>
      <c r="AV17" s="259"/>
      <c r="AW17" s="259"/>
      <c r="AX17" s="259"/>
      <c r="AY17" s="259"/>
      <c r="AZ17" s="259"/>
      <c r="BA17" s="259"/>
      <c r="BB17" s="259"/>
      <c r="BC17" s="259"/>
      <c r="BD17" s="259"/>
      <c r="BE17" s="259"/>
      <c r="BF17" s="259"/>
      <c r="BG17" s="259"/>
      <c r="BH17" s="261">
        <f t="shared" si="0"/>
        <v>10115000</v>
      </c>
    </row>
    <row r="18" spans="1:61" s="244" customFormat="1" ht="18.95" customHeight="1">
      <c r="A18" s="255">
        <v>6</v>
      </c>
      <c r="B18" s="256" t="s">
        <v>30</v>
      </c>
      <c r="C18" s="257">
        <v>7511</v>
      </c>
      <c r="D18" s="258">
        <v>9541</v>
      </c>
      <c r="E18" s="259">
        <v>2470000</v>
      </c>
      <c r="F18" s="259"/>
      <c r="G18" s="259"/>
      <c r="H18" s="259"/>
      <c r="I18" s="259"/>
      <c r="J18" s="259"/>
      <c r="K18" s="259"/>
      <c r="L18" s="259"/>
      <c r="M18" s="260"/>
      <c r="N18" s="260"/>
      <c r="O18" s="259"/>
      <c r="P18" s="260"/>
      <c r="Q18" s="259"/>
      <c r="R18" s="259"/>
      <c r="S18" s="260"/>
      <c r="T18" s="260"/>
      <c r="U18" s="259"/>
      <c r="V18" s="259"/>
      <c r="W18" s="259"/>
      <c r="X18" s="259"/>
      <c r="Y18" s="260"/>
      <c r="Z18" s="259"/>
      <c r="AA18" s="259"/>
      <c r="AB18" s="259"/>
      <c r="AC18" s="259"/>
      <c r="AD18" s="259"/>
      <c r="AE18" s="259"/>
      <c r="AF18" s="259"/>
      <c r="AG18" s="260"/>
      <c r="AH18" s="260"/>
      <c r="AI18" s="259"/>
      <c r="AJ18" s="259"/>
      <c r="AK18" s="259"/>
      <c r="AL18" s="259">
        <v>1960000</v>
      </c>
      <c r="AM18" s="259">
        <v>510000</v>
      </c>
      <c r="AN18" s="259"/>
      <c r="AO18" s="259"/>
      <c r="AP18" s="259"/>
      <c r="AQ18" s="259"/>
      <c r="AR18" s="259"/>
      <c r="AS18" s="259"/>
      <c r="AT18" s="259"/>
      <c r="AU18" s="259"/>
      <c r="AV18" s="259"/>
      <c r="AW18" s="259"/>
      <c r="AX18" s="259"/>
      <c r="AY18" s="259"/>
      <c r="AZ18" s="259"/>
      <c r="BA18" s="259"/>
      <c r="BB18" s="259"/>
      <c r="BC18" s="259"/>
      <c r="BD18" s="259"/>
      <c r="BE18" s="259"/>
      <c r="BF18" s="259"/>
      <c r="BG18" s="259"/>
      <c r="BH18" s="261">
        <f t="shared" si="0"/>
        <v>2470000</v>
      </c>
    </row>
    <row r="19" spans="1:61" s="244" customFormat="1" ht="18.95" customHeight="1">
      <c r="A19" s="269">
        <v>46087</v>
      </c>
      <c r="B19" s="256" t="s">
        <v>89</v>
      </c>
      <c r="C19" s="257">
        <v>7509</v>
      </c>
      <c r="D19" s="258">
        <v>9543</v>
      </c>
      <c r="E19" s="259">
        <v>13427680</v>
      </c>
      <c r="F19" s="259"/>
      <c r="G19" s="259"/>
      <c r="H19" s="259"/>
      <c r="I19" s="259"/>
      <c r="J19" s="259"/>
      <c r="K19" s="259"/>
      <c r="L19" s="259"/>
      <c r="M19" s="260"/>
      <c r="N19" s="260"/>
      <c r="O19" s="259"/>
      <c r="P19" s="260"/>
      <c r="Q19" s="259"/>
      <c r="R19" s="259"/>
      <c r="S19" s="260"/>
      <c r="T19" s="260"/>
      <c r="U19" s="259"/>
      <c r="V19" s="259"/>
      <c r="W19" s="259"/>
      <c r="X19" s="259"/>
      <c r="Y19" s="260"/>
      <c r="Z19" s="259"/>
      <c r="AA19" s="259"/>
      <c r="AB19" s="259"/>
      <c r="AC19" s="259"/>
      <c r="AD19" s="259"/>
      <c r="AE19" s="259"/>
      <c r="AF19" s="259"/>
      <c r="AG19" s="260"/>
      <c r="AH19" s="260"/>
      <c r="AI19" s="259"/>
      <c r="AJ19" s="259"/>
      <c r="AK19" s="259"/>
      <c r="AL19" s="259"/>
      <c r="AM19" s="259"/>
      <c r="AN19" s="259">
        <v>13427680</v>
      </c>
      <c r="AO19" s="259"/>
      <c r="AP19" s="259"/>
      <c r="AQ19" s="259"/>
      <c r="AR19" s="259"/>
      <c r="AS19" s="259"/>
      <c r="AT19" s="259"/>
      <c r="AU19" s="259"/>
      <c r="AV19" s="259"/>
      <c r="AW19" s="259"/>
      <c r="AX19" s="259"/>
      <c r="AY19" s="259"/>
      <c r="AZ19" s="259"/>
      <c r="BA19" s="259"/>
      <c r="BB19" s="259"/>
      <c r="BC19" s="259"/>
      <c r="BD19" s="259"/>
      <c r="BE19" s="259"/>
      <c r="BF19" s="259"/>
      <c r="BG19" s="259"/>
      <c r="BH19" s="261">
        <f t="shared" si="0"/>
        <v>13427680</v>
      </c>
    </row>
    <row r="20" spans="1:61" s="244" customFormat="1" ht="18.95" customHeight="1">
      <c r="A20" s="269">
        <v>46087</v>
      </c>
      <c r="B20" s="256" t="s">
        <v>94</v>
      </c>
      <c r="C20" s="257">
        <v>7527</v>
      </c>
      <c r="D20" s="258">
        <v>9641</v>
      </c>
      <c r="E20" s="259">
        <v>104145725</v>
      </c>
      <c r="F20" s="259"/>
      <c r="G20" s="259"/>
      <c r="H20" s="259"/>
      <c r="I20" s="259"/>
      <c r="J20" s="259"/>
      <c r="K20" s="259"/>
      <c r="L20" s="259"/>
      <c r="M20" s="260"/>
      <c r="N20" s="260"/>
      <c r="O20" s="259"/>
      <c r="P20" s="260"/>
      <c r="Q20" s="259"/>
      <c r="R20" s="259"/>
      <c r="S20" s="260"/>
      <c r="T20" s="260"/>
      <c r="U20" s="259"/>
      <c r="V20" s="259"/>
      <c r="W20" s="259"/>
      <c r="X20" s="259"/>
      <c r="Y20" s="260"/>
      <c r="Z20" s="259"/>
      <c r="AA20" s="259"/>
      <c r="AB20" s="259"/>
      <c r="AC20" s="259"/>
      <c r="AD20" s="259"/>
      <c r="AE20" s="259"/>
      <c r="AF20" s="259"/>
      <c r="AG20" s="260"/>
      <c r="AH20" s="260"/>
      <c r="AI20" s="259"/>
      <c r="AJ20" s="259"/>
      <c r="AK20" s="259"/>
      <c r="AL20" s="259"/>
      <c r="AM20" s="259"/>
      <c r="AN20" s="259"/>
      <c r="AO20" s="259">
        <v>104145724</v>
      </c>
      <c r="AP20" s="259"/>
      <c r="AQ20" s="259"/>
      <c r="AR20" s="259"/>
      <c r="AS20" s="259"/>
      <c r="AT20" s="259"/>
      <c r="AU20" s="259"/>
      <c r="AV20" s="259"/>
      <c r="AW20" s="259"/>
      <c r="AX20" s="259"/>
      <c r="AY20" s="259"/>
      <c r="AZ20" s="259"/>
      <c r="BA20" s="259"/>
      <c r="BB20" s="259"/>
      <c r="BC20" s="259"/>
      <c r="BD20" s="259"/>
      <c r="BE20" s="259"/>
      <c r="BF20" s="259"/>
      <c r="BG20" s="259"/>
      <c r="BH20" s="261">
        <f t="shared" si="0"/>
        <v>104145724</v>
      </c>
    </row>
    <row r="21" spans="1:61" s="244" customFormat="1" ht="18.95" customHeight="1">
      <c r="A21" s="269">
        <v>46087</v>
      </c>
      <c r="B21" s="256" t="s">
        <v>94</v>
      </c>
      <c r="C21" s="257">
        <v>7531</v>
      </c>
      <c r="D21" s="258">
        <v>10530</v>
      </c>
      <c r="E21" s="259">
        <v>43750000</v>
      </c>
      <c r="F21" s="259"/>
      <c r="G21" s="259"/>
      <c r="H21" s="259"/>
      <c r="I21" s="259"/>
      <c r="J21" s="259"/>
      <c r="K21" s="259"/>
      <c r="L21" s="259"/>
      <c r="M21" s="260"/>
      <c r="N21" s="260"/>
      <c r="O21" s="259"/>
      <c r="P21" s="260"/>
      <c r="Q21" s="259"/>
      <c r="R21" s="259"/>
      <c r="S21" s="260"/>
      <c r="T21" s="260"/>
      <c r="U21" s="259"/>
      <c r="V21" s="259"/>
      <c r="W21" s="259"/>
      <c r="X21" s="259"/>
      <c r="Y21" s="260"/>
      <c r="Z21" s="259"/>
      <c r="AA21" s="259"/>
      <c r="AB21" s="259"/>
      <c r="AC21" s="259"/>
      <c r="AD21" s="259"/>
      <c r="AE21" s="259"/>
      <c r="AF21" s="259"/>
      <c r="AG21" s="260"/>
      <c r="AH21" s="260"/>
      <c r="AI21" s="259"/>
      <c r="AJ21" s="259"/>
      <c r="AK21" s="259"/>
      <c r="AL21" s="259"/>
      <c r="AM21" s="259"/>
      <c r="AN21" s="259"/>
      <c r="AO21" s="259"/>
      <c r="AP21" s="259">
        <v>43500000</v>
      </c>
      <c r="AQ21" s="259"/>
      <c r="AR21" s="259"/>
      <c r="AS21" s="259"/>
      <c r="AT21" s="259"/>
      <c r="AU21" s="259"/>
      <c r="AV21" s="259"/>
      <c r="AW21" s="259"/>
      <c r="AX21" s="259"/>
      <c r="AY21" s="259"/>
      <c r="AZ21" s="259"/>
      <c r="BA21" s="259"/>
      <c r="BB21" s="259"/>
      <c r="BC21" s="259"/>
      <c r="BD21" s="259"/>
      <c r="BE21" s="259"/>
      <c r="BF21" s="259"/>
      <c r="BG21" s="259"/>
      <c r="BH21" s="261">
        <f t="shared" si="0"/>
        <v>43500000</v>
      </c>
    </row>
    <row r="22" spans="1:61" s="244" customFormat="1" ht="18.95" customHeight="1">
      <c r="A22" s="269">
        <v>46087</v>
      </c>
      <c r="B22" s="256" t="s">
        <v>173</v>
      </c>
      <c r="C22" s="257">
        <v>7517</v>
      </c>
      <c r="D22" s="258">
        <v>9549</v>
      </c>
      <c r="E22" s="259">
        <v>1106000</v>
      </c>
      <c r="F22" s="259"/>
      <c r="G22" s="259"/>
      <c r="H22" s="259"/>
      <c r="I22" s="259"/>
      <c r="J22" s="259"/>
      <c r="K22" s="259"/>
      <c r="L22" s="259">
        <f>130000+300000</f>
        <v>430000</v>
      </c>
      <c r="M22" s="260"/>
      <c r="N22" s="260">
        <f>156000+120000+400000</f>
        <v>676000</v>
      </c>
      <c r="O22" s="259"/>
      <c r="P22" s="260"/>
      <c r="Q22" s="259"/>
      <c r="R22" s="259"/>
      <c r="S22" s="260"/>
      <c r="T22" s="260"/>
      <c r="U22" s="259"/>
      <c r="V22" s="259"/>
      <c r="W22" s="259"/>
      <c r="X22" s="259"/>
      <c r="Y22" s="260"/>
      <c r="Z22" s="259"/>
      <c r="AA22" s="259"/>
      <c r="AB22" s="259"/>
      <c r="AC22" s="259"/>
      <c r="AD22" s="259"/>
      <c r="AE22" s="259"/>
      <c r="AF22" s="259"/>
      <c r="AG22" s="260"/>
      <c r="AH22" s="260"/>
      <c r="AI22" s="259"/>
      <c r="AJ22" s="259"/>
      <c r="AK22" s="259"/>
      <c r="AL22" s="259"/>
      <c r="AM22" s="259"/>
      <c r="AN22" s="259"/>
      <c r="AO22" s="259"/>
      <c r="AP22" s="259"/>
      <c r="AQ22" s="259"/>
      <c r="AR22" s="259"/>
      <c r="AS22" s="259"/>
      <c r="AT22" s="259"/>
      <c r="AU22" s="259"/>
      <c r="AV22" s="259"/>
      <c r="AW22" s="259"/>
      <c r="AX22" s="259"/>
      <c r="AY22" s="259"/>
      <c r="AZ22" s="259"/>
      <c r="BA22" s="259"/>
      <c r="BB22" s="259"/>
      <c r="BC22" s="259"/>
      <c r="BD22" s="259"/>
      <c r="BE22" s="259"/>
      <c r="BF22" s="259"/>
      <c r="BG22" s="259"/>
      <c r="BH22" s="261">
        <f t="shared" si="0"/>
        <v>1106000</v>
      </c>
    </row>
    <row r="23" spans="1:61" s="244" customFormat="1" ht="18.95" customHeight="1">
      <c r="A23" s="269">
        <v>46087</v>
      </c>
      <c r="B23" s="256" t="s">
        <v>173</v>
      </c>
      <c r="C23" s="257">
        <v>7518</v>
      </c>
      <c r="D23" s="258">
        <v>9548</v>
      </c>
      <c r="E23" s="259">
        <v>19982000</v>
      </c>
      <c r="F23" s="259"/>
      <c r="G23" s="259"/>
      <c r="H23" s="259"/>
      <c r="I23" s="259"/>
      <c r="J23" s="259"/>
      <c r="K23" s="259"/>
      <c r="L23" s="259"/>
      <c r="M23" s="260"/>
      <c r="N23" s="260"/>
      <c r="O23" s="259"/>
      <c r="P23" s="260"/>
      <c r="Q23" s="259"/>
      <c r="R23" s="259"/>
      <c r="S23" s="260"/>
      <c r="T23" s="260"/>
      <c r="U23" s="259"/>
      <c r="V23" s="259"/>
      <c r="W23" s="259"/>
      <c r="X23" s="259"/>
      <c r="Y23" s="260"/>
      <c r="Z23" s="259"/>
      <c r="AA23" s="259"/>
      <c r="AB23" s="259"/>
      <c r="AC23" s="259"/>
      <c r="AD23" s="259"/>
      <c r="AE23" s="259"/>
      <c r="AF23" s="259"/>
      <c r="AG23" s="260"/>
      <c r="AH23" s="260"/>
      <c r="AI23" s="259"/>
      <c r="AJ23" s="259"/>
      <c r="AK23" s="259">
        <v>3760000</v>
      </c>
      <c r="AL23" s="259">
        <f>2850000+4388000</f>
        <v>7238000</v>
      </c>
      <c r="AM23" s="259"/>
      <c r="AN23" s="259"/>
      <c r="AO23" s="259"/>
      <c r="AP23" s="259"/>
      <c r="AQ23" s="259">
        <f>680000+1150000</f>
        <v>1830000</v>
      </c>
      <c r="AR23" s="259">
        <v>7154000</v>
      </c>
      <c r="AS23" s="259"/>
      <c r="AT23" s="259"/>
      <c r="AU23" s="259"/>
      <c r="AV23" s="259"/>
      <c r="AW23" s="259"/>
      <c r="AX23" s="259"/>
      <c r="AY23" s="259"/>
      <c r="AZ23" s="259"/>
      <c r="BA23" s="259"/>
      <c r="BB23" s="259"/>
      <c r="BC23" s="259"/>
      <c r="BD23" s="259"/>
      <c r="BE23" s="259"/>
      <c r="BF23" s="259"/>
      <c r="BG23" s="259"/>
      <c r="BH23" s="261">
        <f t="shared" si="0"/>
        <v>19982000</v>
      </c>
      <c r="BI23" s="270">
        <f>BH23-19982000</f>
        <v>0</v>
      </c>
    </row>
    <row r="24" spans="1:61" s="244" customFormat="1" ht="36.6" customHeight="1">
      <c r="A24" s="269">
        <v>46087</v>
      </c>
      <c r="B24" s="256" t="s">
        <v>174</v>
      </c>
      <c r="C24" s="257">
        <v>7469</v>
      </c>
      <c r="D24" s="258"/>
      <c r="E24" s="259">
        <v>200000</v>
      </c>
      <c r="F24" s="259"/>
      <c r="G24" s="259"/>
      <c r="H24" s="259"/>
      <c r="I24" s="259"/>
      <c r="J24" s="259"/>
      <c r="K24" s="259"/>
      <c r="L24" s="259"/>
      <c r="M24" s="260"/>
      <c r="N24" s="260"/>
      <c r="O24" s="259"/>
      <c r="P24" s="260">
        <v>200000</v>
      </c>
      <c r="Q24" s="259"/>
      <c r="R24" s="259"/>
      <c r="S24" s="260"/>
      <c r="T24" s="260"/>
      <c r="U24" s="259"/>
      <c r="V24" s="259"/>
      <c r="W24" s="259"/>
      <c r="X24" s="259"/>
      <c r="Y24" s="260"/>
      <c r="Z24" s="259"/>
      <c r="AA24" s="259"/>
      <c r="AB24" s="259"/>
      <c r="AC24" s="259"/>
      <c r="AD24" s="259"/>
      <c r="AE24" s="259"/>
      <c r="AF24" s="259"/>
      <c r="AG24" s="260"/>
      <c r="AH24" s="260"/>
      <c r="AI24" s="259"/>
      <c r="AJ24" s="259"/>
      <c r="AK24" s="259"/>
      <c r="AL24" s="259"/>
      <c r="AM24" s="259"/>
      <c r="AN24" s="259"/>
      <c r="AO24" s="259"/>
      <c r="AP24" s="259"/>
      <c r="AQ24" s="259"/>
      <c r="AR24" s="259"/>
      <c r="AS24" s="259"/>
      <c r="AT24" s="259"/>
      <c r="AU24" s="259"/>
      <c r="AV24" s="259"/>
      <c r="AW24" s="259"/>
      <c r="AX24" s="259"/>
      <c r="AY24" s="259"/>
      <c r="AZ24" s="259"/>
      <c r="BA24" s="259"/>
      <c r="BB24" s="259"/>
      <c r="BC24" s="259"/>
      <c r="BD24" s="259"/>
      <c r="BE24" s="259"/>
      <c r="BF24" s="259"/>
      <c r="BG24" s="259"/>
      <c r="BH24" s="261">
        <f t="shared" si="0"/>
        <v>200000</v>
      </c>
    </row>
    <row r="25" spans="1:61" s="244" customFormat="1" ht="18.95" customHeight="1">
      <c r="A25" s="269">
        <v>46087</v>
      </c>
      <c r="B25" s="256" t="s">
        <v>175</v>
      </c>
      <c r="C25" s="257">
        <v>7505</v>
      </c>
      <c r="D25" s="258">
        <v>9538</v>
      </c>
      <c r="E25" s="259">
        <v>1894000</v>
      </c>
      <c r="F25" s="259"/>
      <c r="G25" s="259"/>
      <c r="H25" s="259"/>
      <c r="I25" s="259"/>
      <c r="J25" s="259"/>
      <c r="K25" s="259"/>
      <c r="L25" s="259"/>
      <c r="M25" s="260"/>
      <c r="N25" s="260"/>
      <c r="O25" s="259"/>
      <c r="P25" s="260"/>
      <c r="Q25" s="259"/>
      <c r="R25" s="259"/>
      <c r="S25" s="260"/>
      <c r="T25" s="260"/>
      <c r="U25" s="259"/>
      <c r="V25" s="259"/>
      <c r="W25" s="259"/>
      <c r="X25" s="259"/>
      <c r="Y25" s="260"/>
      <c r="Z25" s="259"/>
      <c r="AA25" s="259"/>
      <c r="AB25" s="259"/>
      <c r="AC25" s="259"/>
      <c r="AD25" s="259"/>
      <c r="AE25" s="259"/>
      <c r="AF25" s="259"/>
      <c r="AG25" s="260"/>
      <c r="AH25" s="260"/>
      <c r="AI25" s="259"/>
      <c r="AJ25" s="259"/>
      <c r="AK25" s="259"/>
      <c r="AL25" s="259"/>
      <c r="AM25" s="259"/>
      <c r="AN25" s="259"/>
      <c r="AO25" s="259"/>
      <c r="AP25" s="259"/>
      <c r="AQ25" s="259"/>
      <c r="AR25" s="259"/>
      <c r="AS25" s="259">
        <v>1894000</v>
      </c>
      <c r="AT25" s="259"/>
      <c r="AU25" s="259"/>
      <c r="AV25" s="259"/>
      <c r="AW25" s="259"/>
      <c r="AX25" s="259"/>
      <c r="AY25" s="259"/>
      <c r="AZ25" s="259"/>
      <c r="BA25" s="259"/>
      <c r="BB25" s="259"/>
      <c r="BC25" s="259"/>
      <c r="BD25" s="259"/>
      <c r="BE25" s="259"/>
      <c r="BF25" s="259"/>
      <c r="BG25" s="259"/>
      <c r="BH25" s="261">
        <f t="shared" si="0"/>
        <v>1894000</v>
      </c>
    </row>
    <row r="26" spans="1:61" s="244" customFormat="1">
      <c r="A26" s="269">
        <v>46087</v>
      </c>
      <c r="B26" s="256" t="s">
        <v>104</v>
      </c>
      <c r="C26" s="257">
        <v>7514</v>
      </c>
      <c r="D26" s="258">
        <v>9545</v>
      </c>
      <c r="E26" s="259">
        <v>2600000</v>
      </c>
      <c r="F26" s="259"/>
      <c r="G26" s="259"/>
      <c r="H26" s="259"/>
      <c r="I26" s="259">
        <v>1000000</v>
      </c>
      <c r="J26" s="259">
        <f>600000+580000+0</f>
        <v>1180000</v>
      </c>
      <c r="K26" s="259">
        <v>450000</v>
      </c>
      <c r="L26" s="259"/>
      <c r="M26" s="260"/>
      <c r="N26" s="260"/>
      <c r="O26" s="259"/>
      <c r="P26" s="260"/>
      <c r="Q26" s="259"/>
      <c r="R26" s="259"/>
      <c r="S26" s="260"/>
      <c r="T26" s="260"/>
      <c r="U26" s="259"/>
      <c r="V26" s="259"/>
      <c r="W26" s="259"/>
      <c r="X26" s="259"/>
      <c r="Y26" s="260"/>
      <c r="Z26" s="259"/>
      <c r="AA26" s="259"/>
      <c r="AB26" s="259"/>
      <c r="AC26" s="259"/>
      <c r="AD26" s="259"/>
      <c r="AE26" s="259"/>
      <c r="AF26" s="259"/>
      <c r="AG26" s="260"/>
      <c r="AH26" s="260"/>
      <c r="AI26" s="259"/>
      <c r="AJ26" s="259"/>
      <c r="AK26" s="259"/>
      <c r="AL26" s="259"/>
      <c r="AM26" s="259"/>
      <c r="AN26" s="259"/>
      <c r="AO26" s="259"/>
      <c r="AP26" s="259"/>
      <c r="AQ26" s="259"/>
      <c r="AR26" s="259"/>
      <c r="AS26" s="259"/>
      <c r="AT26" s="259"/>
      <c r="AU26" s="259"/>
      <c r="AV26" s="259"/>
      <c r="AW26" s="259"/>
      <c r="AX26" s="259"/>
      <c r="AY26" s="259"/>
      <c r="AZ26" s="259"/>
      <c r="BA26" s="259"/>
      <c r="BB26" s="259"/>
      <c r="BC26" s="259"/>
      <c r="BD26" s="259"/>
      <c r="BE26" s="259"/>
      <c r="BF26" s="259"/>
      <c r="BG26" s="259"/>
      <c r="BH26" s="261">
        <f t="shared" si="0"/>
        <v>2630000</v>
      </c>
    </row>
    <row r="27" spans="1:61" s="244" customFormat="1" ht="18.95" customHeight="1">
      <c r="A27" s="269">
        <v>46083</v>
      </c>
      <c r="B27" s="271" t="s">
        <v>176</v>
      </c>
      <c r="C27" s="257">
        <v>7467</v>
      </c>
      <c r="D27" s="258">
        <v>9584</v>
      </c>
      <c r="E27" s="259">
        <v>1750000</v>
      </c>
      <c r="F27" s="259"/>
      <c r="G27" s="259"/>
      <c r="H27" s="259"/>
      <c r="I27" s="259"/>
      <c r="J27" s="259"/>
      <c r="K27" s="259"/>
      <c r="L27" s="259"/>
      <c r="M27" s="260"/>
      <c r="N27" s="260"/>
      <c r="O27" s="259"/>
      <c r="P27" s="260"/>
      <c r="Q27" s="259"/>
      <c r="R27" s="259"/>
      <c r="S27" s="260"/>
      <c r="T27" s="260"/>
      <c r="U27" s="259"/>
      <c r="V27" s="259"/>
      <c r="W27" s="259"/>
      <c r="X27" s="259"/>
      <c r="Y27" s="260"/>
      <c r="Z27" s="259"/>
      <c r="AA27" s="259"/>
      <c r="AB27" s="259"/>
      <c r="AC27" s="259"/>
      <c r="AD27" s="259"/>
      <c r="AE27" s="259"/>
      <c r="AF27" s="259"/>
      <c r="AG27" s="260"/>
      <c r="AH27" s="260"/>
      <c r="AI27" s="259"/>
      <c r="AJ27" s="259"/>
      <c r="AK27" s="259"/>
      <c r="AL27" s="259">
        <v>1750000</v>
      </c>
      <c r="AM27" s="259"/>
      <c r="AN27" s="259"/>
      <c r="AO27" s="259"/>
      <c r="AP27" s="259"/>
      <c r="AQ27" s="259"/>
      <c r="AR27" s="259"/>
      <c r="AS27" s="259"/>
      <c r="AT27" s="259"/>
      <c r="AU27" s="259"/>
      <c r="AV27" s="259"/>
      <c r="AW27" s="259"/>
      <c r="AX27" s="259"/>
      <c r="AY27" s="259"/>
      <c r="AZ27" s="259"/>
      <c r="BA27" s="259"/>
      <c r="BB27" s="259"/>
      <c r="BC27" s="259"/>
      <c r="BD27" s="259"/>
      <c r="BE27" s="259"/>
      <c r="BF27" s="259"/>
      <c r="BG27" s="259"/>
      <c r="BH27" s="261">
        <f t="shared" si="0"/>
        <v>1750000</v>
      </c>
    </row>
    <row r="28" spans="1:61" s="244" customFormat="1" ht="18.95" customHeight="1">
      <c r="A28" s="269">
        <v>46087</v>
      </c>
      <c r="B28" s="256" t="s">
        <v>104</v>
      </c>
      <c r="C28" s="257">
        <v>7481</v>
      </c>
      <c r="D28" s="258">
        <v>11188</v>
      </c>
      <c r="E28" s="259">
        <v>2500000</v>
      </c>
      <c r="F28" s="259"/>
      <c r="G28" s="259"/>
      <c r="H28" s="259"/>
      <c r="I28" s="259"/>
      <c r="J28" s="259">
        <v>400000</v>
      </c>
      <c r="K28" s="259"/>
      <c r="L28" s="259"/>
      <c r="M28" s="260"/>
      <c r="N28" s="260"/>
      <c r="O28" s="259"/>
      <c r="P28" s="260"/>
      <c r="Q28" s="259"/>
      <c r="R28" s="259"/>
      <c r="S28" s="260"/>
      <c r="T28" s="260"/>
      <c r="U28" s="259"/>
      <c r="V28" s="259"/>
      <c r="W28" s="259"/>
      <c r="X28" s="259"/>
      <c r="Y28" s="260"/>
      <c r="Z28" s="259"/>
      <c r="AA28" s="259"/>
      <c r="AB28" s="259"/>
      <c r="AC28" s="259"/>
      <c r="AD28" s="259"/>
      <c r="AE28" s="259"/>
      <c r="AF28" s="259"/>
      <c r="AG28" s="260"/>
      <c r="AH28" s="260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>
        <v>2100000</v>
      </c>
      <c r="AV28" s="259"/>
      <c r="AW28" s="259"/>
      <c r="AX28" s="259"/>
      <c r="AY28" s="259"/>
      <c r="AZ28" s="259"/>
      <c r="BA28" s="259"/>
      <c r="BB28" s="259"/>
      <c r="BC28" s="259"/>
      <c r="BD28" s="259"/>
      <c r="BE28" s="259"/>
      <c r="BF28" s="259"/>
      <c r="BG28" s="259"/>
      <c r="BH28" s="261">
        <f t="shared" si="0"/>
        <v>2500000</v>
      </c>
    </row>
    <row r="29" spans="1:61" s="244" customFormat="1" ht="18.95" customHeight="1">
      <c r="A29" s="269">
        <v>46086</v>
      </c>
      <c r="B29" s="256" t="s">
        <v>177</v>
      </c>
      <c r="C29" s="257">
        <v>7479</v>
      </c>
      <c r="D29" s="258">
        <v>9507</v>
      </c>
      <c r="E29" s="259">
        <v>400000</v>
      </c>
      <c r="F29" s="259"/>
      <c r="G29" s="259"/>
      <c r="H29" s="259">
        <v>400000</v>
      </c>
      <c r="I29" s="259"/>
      <c r="J29" s="259"/>
      <c r="K29" s="259"/>
      <c r="L29" s="259"/>
      <c r="M29" s="260"/>
      <c r="N29" s="260"/>
      <c r="O29" s="259"/>
      <c r="P29" s="260"/>
      <c r="Q29" s="259"/>
      <c r="R29" s="259"/>
      <c r="S29" s="260"/>
      <c r="T29" s="260"/>
      <c r="U29" s="259"/>
      <c r="V29" s="259"/>
      <c r="W29" s="259"/>
      <c r="X29" s="259"/>
      <c r="Y29" s="260"/>
      <c r="Z29" s="259"/>
      <c r="AA29" s="259"/>
      <c r="AB29" s="259"/>
      <c r="AC29" s="259"/>
      <c r="AD29" s="259"/>
      <c r="AE29" s="259"/>
      <c r="AF29" s="259"/>
      <c r="AG29" s="260"/>
      <c r="AH29" s="260"/>
      <c r="AI29" s="259"/>
      <c r="AJ29" s="259"/>
      <c r="AK29" s="259"/>
      <c r="AL29" s="259"/>
      <c r="AM29" s="259"/>
      <c r="AN29" s="259"/>
      <c r="AO29" s="259"/>
      <c r="AP29" s="259"/>
      <c r="AQ29" s="259"/>
      <c r="AR29" s="259"/>
      <c r="AS29" s="259"/>
      <c r="AT29" s="259"/>
      <c r="AU29" s="259"/>
      <c r="AV29" s="259"/>
      <c r="AW29" s="259"/>
      <c r="AX29" s="259"/>
      <c r="AY29" s="259"/>
      <c r="AZ29" s="259"/>
      <c r="BA29" s="259"/>
      <c r="BB29" s="259"/>
      <c r="BC29" s="259"/>
      <c r="BD29" s="259"/>
      <c r="BE29" s="259"/>
      <c r="BF29" s="259"/>
      <c r="BG29" s="259"/>
      <c r="BH29" s="261">
        <f t="shared" si="0"/>
        <v>400000</v>
      </c>
    </row>
    <row r="30" spans="1:61" s="244" customFormat="1">
      <c r="A30" s="269">
        <v>46084</v>
      </c>
      <c r="B30" s="256" t="s">
        <v>28</v>
      </c>
      <c r="C30" s="257">
        <v>7437</v>
      </c>
      <c r="D30" s="258">
        <v>11490</v>
      </c>
      <c r="E30" s="259">
        <v>800000</v>
      </c>
      <c r="F30" s="259"/>
      <c r="G30" s="259"/>
      <c r="H30" s="259"/>
      <c r="I30" s="259"/>
      <c r="J30" s="259"/>
      <c r="K30" s="259"/>
      <c r="L30" s="259"/>
      <c r="M30" s="259"/>
      <c r="N30" s="259"/>
      <c r="O30" s="259"/>
      <c r="P30" s="259"/>
      <c r="Q30" s="259"/>
      <c r="R30" s="259"/>
      <c r="S30" s="259"/>
      <c r="T30" s="259"/>
      <c r="U30" s="259"/>
      <c r="V30" s="259"/>
      <c r="W30" s="259"/>
      <c r="X30" s="259"/>
      <c r="Y30" s="259"/>
      <c r="Z30" s="259"/>
      <c r="AA30" s="259"/>
      <c r="AB30" s="259"/>
      <c r="AC30" s="259"/>
      <c r="AD30" s="259"/>
      <c r="AE30" s="259"/>
      <c r="AF30" s="259"/>
      <c r="AG30" s="259"/>
      <c r="AH30" s="259"/>
      <c r="AI30" s="259"/>
      <c r="AJ30" s="259">
        <v>800000</v>
      </c>
      <c r="AK30" s="259"/>
      <c r="AL30" s="259"/>
      <c r="AM30" s="259"/>
      <c r="AN30" s="259"/>
      <c r="AO30" s="259"/>
      <c r="AP30" s="259"/>
      <c r="AQ30" s="259"/>
      <c r="AR30" s="259"/>
      <c r="AS30" s="259"/>
      <c r="AT30" s="259"/>
      <c r="AU30" s="259"/>
      <c r="AV30" s="259"/>
      <c r="AW30" s="259"/>
      <c r="AX30" s="259"/>
      <c r="AY30" s="259"/>
      <c r="AZ30" s="259"/>
      <c r="BA30" s="259"/>
      <c r="BB30" s="259"/>
      <c r="BC30" s="259"/>
      <c r="BD30" s="259"/>
      <c r="BE30" s="259"/>
      <c r="BF30" s="259"/>
      <c r="BG30" s="259"/>
      <c r="BH30" s="261">
        <f t="shared" si="0"/>
        <v>800000</v>
      </c>
    </row>
    <row r="31" spans="1:61" s="244" customFormat="1">
      <c r="A31" s="269">
        <v>46085</v>
      </c>
      <c r="B31" s="256" t="s">
        <v>178</v>
      </c>
      <c r="C31" s="257">
        <v>7409</v>
      </c>
      <c r="D31" s="258">
        <v>7406</v>
      </c>
      <c r="E31" s="259">
        <v>46530000</v>
      </c>
      <c r="F31" s="259"/>
      <c r="G31" s="259"/>
      <c r="H31" s="259"/>
      <c r="I31" s="259"/>
      <c r="J31" s="259"/>
      <c r="K31" s="259"/>
      <c r="L31" s="259"/>
      <c r="M31" s="259"/>
      <c r="N31" s="259"/>
      <c r="O31" s="259"/>
      <c r="P31" s="259"/>
      <c r="Q31" s="259"/>
      <c r="R31" s="259"/>
      <c r="S31" s="259"/>
      <c r="T31" s="259"/>
      <c r="U31" s="259"/>
      <c r="V31" s="259"/>
      <c r="W31" s="259"/>
      <c r="X31" s="259"/>
      <c r="Y31" s="259"/>
      <c r="Z31" s="259"/>
      <c r="AA31" s="259">
        <v>49500000</v>
      </c>
      <c r="AB31" s="259"/>
      <c r="AC31" s="259"/>
      <c r="AD31" s="259"/>
      <c r="AE31" s="259"/>
      <c r="AF31" s="259"/>
      <c r="AG31" s="259"/>
      <c r="AH31" s="259"/>
      <c r="AI31" s="259"/>
      <c r="AJ31" s="259"/>
      <c r="AK31" s="259"/>
      <c r="AL31" s="259"/>
      <c r="AM31" s="259"/>
      <c r="AN31" s="259"/>
      <c r="AO31" s="259"/>
      <c r="AP31" s="259"/>
      <c r="AQ31" s="259"/>
      <c r="AR31" s="259"/>
      <c r="AS31" s="259"/>
      <c r="AT31" s="259"/>
      <c r="AU31" s="259"/>
      <c r="AV31" s="259"/>
      <c r="AW31" s="259"/>
      <c r="AX31" s="259"/>
      <c r="AY31" s="259"/>
      <c r="AZ31" s="259"/>
      <c r="BA31" s="259"/>
      <c r="BB31" s="259"/>
      <c r="BC31" s="259"/>
      <c r="BD31" s="259"/>
      <c r="BE31" s="259"/>
      <c r="BF31" s="259"/>
      <c r="BG31" s="259"/>
      <c r="BH31" s="261">
        <f t="shared" si="0"/>
        <v>49500000</v>
      </c>
    </row>
    <row r="32" spans="1:61" s="244" customFormat="1" ht="18.95" customHeight="1">
      <c r="A32" s="269">
        <v>46087</v>
      </c>
      <c r="B32" s="256" t="s">
        <v>179</v>
      </c>
      <c r="C32" s="257">
        <v>7506</v>
      </c>
      <c r="D32" s="258">
        <v>9536</v>
      </c>
      <c r="E32" s="259">
        <v>700000</v>
      </c>
      <c r="F32" s="259"/>
      <c r="G32" s="259"/>
      <c r="H32" s="259"/>
      <c r="I32" s="259"/>
      <c r="J32" s="259"/>
      <c r="K32" s="259"/>
      <c r="L32" s="259"/>
      <c r="M32" s="260"/>
      <c r="N32" s="260"/>
      <c r="O32" s="259"/>
      <c r="P32" s="260"/>
      <c r="Q32" s="259"/>
      <c r="R32" s="259"/>
      <c r="S32" s="260"/>
      <c r="T32" s="260"/>
      <c r="U32" s="259"/>
      <c r="V32" s="259"/>
      <c r="W32" s="259"/>
      <c r="X32" s="259"/>
      <c r="Y32" s="260"/>
      <c r="Z32" s="259"/>
      <c r="AA32" s="259"/>
      <c r="AB32" s="259"/>
      <c r="AC32" s="259"/>
      <c r="AD32" s="259"/>
      <c r="AE32" s="259"/>
      <c r="AF32" s="259"/>
      <c r="AG32" s="260"/>
      <c r="AH32" s="260"/>
      <c r="AI32" s="259"/>
      <c r="AJ32" s="259"/>
      <c r="AK32" s="259"/>
      <c r="AL32" s="259"/>
      <c r="AM32" s="259"/>
      <c r="AN32" s="259"/>
      <c r="AO32" s="259">
        <v>700000</v>
      </c>
      <c r="AP32" s="259"/>
      <c r="AQ32" s="259"/>
      <c r="AR32" s="259"/>
      <c r="AS32" s="259"/>
      <c r="AT32" s="259"/>
      <c r="AU32" s="259"/>
      <c r="AV32" s="259"/>
      <c r="AW32" s="259"/>
      <c r="AX32" s="259"/>
      <c r="AY32" s="259"/>
      <c r="AZ32" s="259"/>
      <c r="BA32" s="259"/>
      <c r="BB32" s="259"/>
      <c r="BC32" s="259"/>
      <c r="BD32" s="259"/>
      <c r="BE32" s="259"/>
      <c r="BF32" s="259"/>
      <c r="BG32" s="259"/>
      <c r="BH32" s="261">
        <f t="shared" si="0"/>
        <v>700000</v>
      </c>
    </row>
    <row r="33" spans="1:60" s="244" customFormat="1" ht="18.95" customHeight="1">
      <c r="A33" s="269">
        <v>46087</v>
      </c>
      <c r="B33" s="256" t="s">
        <v>180</v>
      </c>
      <c r="C33" s="257">
        <v>7487</v>
      </c>
      <c r="D33" s="258">
        <v>9515</v>
      </c>
      <c r="E33" s="259">
        <v>1815000</v>
      </c>
      <c r="F33" s="259"/>
      <c r="G33" s="259"/>
      <c r="H33" s="259"/>
      <c r="I33" s="259"/>
      <c r="J33" s="259"/>
      <c r="K33" s="259"/>
      <c r="L33" s="259"/>
      <c r="M33" s="260"/>
      <c r="N33" s="260"/>
      <c r="O33" s="259"/>
      <c r="P33" s="260"/>
      <c r="Q33" s="259"/>
      <c r="R33" s="259"/>
      <c r="S33" s="260"/>
      <c r="T33" s="260"/>
      <c r="U33" s="259"/>
      <c r="V33" s="259"/>
      <c r="W33" s="259"/>
      <c r="X33" s="259"/>
      <c r="Y33" s="260"/>
      <c r="Z33" s="259"/>
      <c r="AA33" s="259"/>
      <c r="AB33" s="259"/>
      <c r="AC33" s="259"/>
      <c r="AD33" s="259"/>
      <c r="AE33" s="259"/>
      <c r="AF33" s="259"/>
      <c r="AG33" s="260"/>
      <c r="AH33" s="260"/>
      <c r="AI33" s="259"/>
      <c r="AJ33" s="259"/>
      <c r="AK33" s="259"/>
      <c r="AL33" s="259"/>
      <c r="AM33" s="259"/>
      <c r="AN33" s="259"/>
      <c r="AO33" s="259"/>
      <c r="AP33" s="259"/>
      <c r="AQ33" s="259"/>
      <c r="AR33" s="259"/>
      <c r="AS33" s="259"/>
      <c r="AT33" s="259"/>
      <c r="AU33" s="259">
        <v>750000</v>
      </c>
      <c r="AV33" s="259">
        <v>1065000</v>
      </c>
      <c r="AW33" s="259"/>
      <c r="AX33" s="259"/>
      <c r="AY33" s="259"/>
      <c r="AZ33" s="259"/>
      <c r="BA33" s="259"/>
      <c r="BB33" s="259"/>
      <c r="BC33" s="259"/>
      <c r="BD33" s="259"/>
      <c r="BE33" s="259"/>
      <c r="BF33" s="259"/>
      <c r="BG33" s="259"/>
      <c r="BH33" s="261">
        <f t="shared" si="0"/>
        <v>1815000</v>
      </c>
    </row>
    <row r="34" spans="1:60" s="244" customFormat="1" ht="18.95" customHeight="1">
      <c r="A34" s="269">
        <v>46086</v>
      </c>
      <c r="B34" s="256" t="s">
        <v>30</v>
      </c>
      <c r="C34" s="257">
        <v>7490</v>
      </c>
      <c r="D34" s="258">
        <v>9575</v>
      </c>
      <c r="E34" s="259">
        <v>2170000</v>
      </c>
      <c r="F34" s="259"/>
      <c r="G34" s="259"/>
      <c r="H34" s="259"/>
      <c r="I34" s="259"/>
      <c r="J34" s="259"/>
      <c r="K34" s="259"/>
      <c r="L34" s="259"/>
      <c r="M34" s="260"/>
      <c r="N34" s="260"/>
      <c r="O34" s="259"/>
      <c r="P34" s="260"/>
      <c r="Q34" s="259"/>
      <c r="R34" s="259"/>
      <c r="S34" s="260"/>
      <c r="T34" s="260"/>
      <c r="U34" s="259"/>
      <c r="V34" s="259"/>
      <c r="W34" s="259"/>
      <c r="X34" s="259"/>
      <c r="Y34" s="260"/>
      <c r="Z34" s="259"/>
      <c r="AA34" s="259"/>
      <c r="AB34" s="259"/>
      <c r="AC34" s="259"/>
      <c r="AD34" s="259"/>
      <c r="AE34" s="259"/>
      <c r="AF34" s="259"/>
      <c r="AG34" s="260"/>
      <c r="AH34" s="260"/>
      <c r="AI34" s="259"/>
      <c r="AJ34" s="259"/>
      <c r="AK34" s="259"/>
      <c r="AL34" s="259">
        <v>2170000</v>
      </c>
      <c r="AM34" s="259"/>
      <c r="AN34" s="259"/>
      <c r="AO34" s="259"/>
      <c r="AP34" s="259"/>
      <c r="AQ34" s="259"/>
      <c r="AR34" s="259"/>
      <c r="AS34" s="259"/>
      <c r="AT34" s="259"/>
      <c r="AU34" s="259"/>
      <c r="AV34" s="259"/>
      <c r="AW34" s="259"/>
      <c r="AX34" s="259"/>
      <c r="AY34" s="259"/>
      <c r="AZ34" s="259"/>
      <c r="BA34" s="259"/>
      <c r="BB34" s="259"/>
      <c r="BC34" s="259"/>
      <c r="BD34" s="259"/>
      <c r="BE34" s="259"/>
      <c r="BF34" s="259"/>
      <c r="BG34" s="259"/>
      <c r="BH34" s="261">
        <f t="shared" si="0"/>
        <v>2170000</v>
      </c>
    </row>
    <row r="35" spans="1:60" s="244" customFormat="1" ht="18.95" customHeight="1">
      <c r="A35" s="269">
        <v>46087</v>
      </c>
      <c r="B35" s="256" t="s">
        <v>94</v>
      </c>
      <c r="C35" s="257">
        <v>7446</v>
      </c>
      <c r="D35" s="258">
        <v>11431</v>
      </c>
      <c r="E35" s="259">
        <v>8000000</v>
      </c>
      <c r="F35" s="259"/>
      <c r="G35" s="259"/>
      <c r="H35" s="259"/>
      <c r="I35" s="259"/>
      <c r="J35" s="259"/>
      <c r="K35" s="259"/>
      <c r="L35" s="259"/>
      <c r="M35" s="260"/>
      <c r="N35" s="260"/>
      <c r="O35" s="259"/>
      <c r="P35" s="260"/>
      <c r="Q35" s="259"/>
      <c r="R35" s="259"/>
      <c r="S35" s="260"/>
      <c r="T35" s="260"/>
      <c r="U35" s="259"/>
      <c r="V35" s="259"/>
      <c r="W35" s="259"/>
      <c r="X35" s="259"/>
      <c r="Y35" s="260"/>
      <c r="Z35" s="259"/>
      <c r="AA35" s="259"/>
      <c r="AB35" s="259"/>
      <c r="AC35" s="259"/>
      <c r="AD35" s="259"/>
      <c r="AE35" s="259"/>
      <c r="AF35" s="259"/>
      <c r="AG35" s="260"/>
      <c r="AH35" s="260"/>
      <c r="AI35" s="259"/>
      <c r="AJ35" s="259"/>
      <c r="AK35" s="259">
        <v>8000000</v>
      </c>
      <c r="AL35" s="259"/>
      <c r="AM35" s="259"/>
      <c r="AN35" s="259"/>
      <c r="AO35" s="259"/>
      <c r="AP35" s="259"/>
      <c r="AQ35" s="259"/>
      <c r="AR35" s="259"/>
      <c r="AS35" s="259"/>
      <c r="AT35" s="259"/>
      <c r="AU35" s="259"/>
      <c r="AV35" s="259"/>
      <c r="AW35" s="259"/>
      <c r="AX35" s="259"/>
      <c r="AY35" s="259"/>
      <c r="AZ35" s="259"/>
      <c r="BA35" s="259"/>
      <c r="BB35" s="259"/>
      <c r="BC35" s="259"/>
      <c r="BD35" s="259"/>
      <c r="BE35" s="259"/>
      <c r="BF35" s="259"/>
      <c r="BG35" s="259"/>
      <c r="BH35" s="261">
        <f t="shared" si="0"/>
        <v>8000000</v>
      </c>
    </row>
    <row r="36" spans="1:60" s="244" customFormat="1" ht="18.95" customHeight="1">
      <c r="A36" s="269">
        <v>46087</v>
      </c>
      <c r="B36" s="256" t="s">
        <v>172</v>
      </c>
      <c r="C36" s="257">
        <v>7422</v>
      </c>
      <c r="D36" s="258"/>
      <c r="E36" s="259">
        <v>94987000</v>
      </c>
      <c r="F36" s="259"/>
      <c r="G36" s="259"/>
      <c r="H36" s="259"/>
      <c r="I36" s="259"/>
      <c r="J36" s="259"/>
      <c r="K36" s="259"/>
      <c r="L36" s="259"/>
      <c r="M36" s="260"/>
      <c r="N36" s="260"/>
      <c r="O36" s="259"/>
      <c r="P36" s="260"/>
      <c r="Q36" s="259"/>
      <c r="R36" s="259"/>
      <c r="S36" s="260"/>
      <c r="T36" s="260"/>
      <c r="U36" s="259"/>
      <c r="V36" s="259">
        <f>34350000+2100000</f>
        <v>36450000</v>
      </c>
      <c r="W36" s="259"/>
      <c r="X36" s="259"/>
      <c r="Y36" s="260"/>
      <c r="Z36" s="259"/>
      <c r="AA36" s="259">
        <f>24800000</f>
        <v>24800000</v>
      </c>
      <c r="AB36" s="259">
        <f>25200000</f>
        <v>25200000</v>
      </c>
      <c r="AC36" s="259">
        <f>2100000</f>
        <v>2100000</v>
      </c>
      <c r="AD36" s="259">
        <f>12500000</f>
        <v>12500000</v>
      </c>
      <c r="AE36" s="259"/>
      <c r="AF36" s="259"/>
      <c r="AG36" s="260"/>
      <c r="AH36" s="260"/>
      <c r="AI36" s="259"/>
      <c r="AJ36" s="259"/>
      <c r="AK36" s="259"/>
      <c r="AL36" s="259"/>
      <c r="AM36" s="259"/>
      <c r="AN36" s="259"/>
      <c r="AO36" s="259"/>
      <c r="AP36" s="259"/>
      <c r="AQ36" s="259"/>
      <c r="AR36" s="259"/>
      <c r="AS36" s="259"/>
      <c r="AT36" s="259"/>
      <c r="AU36" s="259"/>
      <c r="AV36" s="259"/>
      <c r="AW36" s="259"/>
      <c r="AX36" s="259"/>
      <c r="AY36" s="259"/>
      <c r="AZ36" s="259"/>
      <c r="BA36" s="259"/>
      <c r="BB36" s="259"/>
      <c r="BC36" s="259"/>
      <c r="BD36" s="259"/>
      <c r="BE36" s="259"/>
      <c r="BF36" s="259"/>
      <c r="BG36" s="259"/>
      <c r="BH36" s="261">
        <f t="shared" si="0"/>
        <v>101050000</v>
      </c>
    </row>
    <row r="37" spans="1:60" s="244" customFormat="1" ht="18.95" customHeight="1">
      <c r="A37" s="269">
        <v>46087</v>
      </c>
      <c r="B37" s="256" t="s">
        <v>181</v>
      </c>
      <c r="C37" s="257">
        <v>7493</v>
      </c>
      <c r="D37" s="258">
        <v>9592</v>
      </c>
      <c r="E37" s="259">
        <v>624000</v>
      </c>
      <c r="F37" s="259"/>
      <c r="G37" s="259"/>
      <c r="H37" s="259"/>
      <c r="I37" s="259"/>
      <c r="J37" s="259"/>
      <c r="K37" s="259"/>
      <c r="L37" s="259"/>
      <c r="M37" s="260"/>
      <c r="N37" s="260"/>
      <c r="O37" s="259"/>
      <c r="P37" s="260"/>
      <c r="Q37" s="259"/>
      <c r="R37" s="259"/>
      <c r="S37" s="260"/>
      <c r="T37" s="260"/>
      <c r="U37" s="259"/>
      <c r="V37" s="259"/>
      <c r="W37" s="259"/>
      <c r="X37" s="259"/>
      <c r="Y37" s="260"/>
      <c r="Z37" s="259"/>
      <c r="AA37" s="259"/>
      <c r="AB37" s="259"/>
      <c r="AC37" s="259"/>
      <c r="AD37" s="259"/>
      <c r="AE37" s="259"/>
      <c r="AF37" s="259">
        <v>624000</v>
      </c>
      <c r="AG37" s="260"/>
      <c r="AH37" s="260"/>
      <c r="AI37" s="259"/>
      <c r="AJ37" s="259"/>
      <c r="AK37" s="259"/>
      <c r="AL37" s="259"/>
      <c r="AM37" s="259"/>
      <c r="AN37" s="259"/>
      <c r="AO37" s="259"/>
      <c r="AP37" s="259"/>
      <c r="AQ37" s="259"/>
      <c r="AR37" s="259"/>
      <c r="AS37" s="259"/>
      <c r="AT37" s="259"/>
      <c r="AU37" s="259"/>
      <c r="AV37" s="259"/>
      <c r="AW37" s="259"/>
      <c r="AX37" s="259"/>
      <c r="AY37" s="259"/>
      <c r="AZ37" s="259"/>
      <c r="BA37" s="259"/>
      <c r="BB37" s="259"/>
      <c r="BC37" s="259"/>
      <c r="BD37" s="259"/>
      <c r="BE37" s="259"/>
      <c r="BF37" s="259"/>
      <c r="BG37" s="259"/>
      <c r="BH37" s="261">
        <f t="shared" si="0"/>
        <v>624000</v>
      </c>
    </row>
    <row r="38" spans="1:60" s="244" customFormat="1" ht="30">
      <c r="A38" s="255">
        <v>46087</v>
      </c>
      <c r="B38" s="256" t="s">
        <v>182</v>
      </c>
      <c r="C38" s="257">
        <v>7522</v>
      </c>
      <c r="D38" s="258">
        <v>9635</v>
      </c>
      <c r="E38" s="259">
        <v>1797280</v>
      </c>
      <c r="F38" s="259"/>
      <c r="G38" s="259"/>
      <c r="H38" s="259"/>
      <c r="I38" s="259"/>
      <c r="J38" s="259"/>
      <c r="K38" s="259"/>
      <c r="L38" s="259"/>
      <c r="M38" s="259"/>
      <c r="N38" s="259">
        <v>1912000</v>
      </c>
      <c r="O38" s="259"/>
      <c r="P38" s="259"/>
      <c r="Q38" s="259"/>
      <c r="R38" s="259"/>
      <c r="S38" s="259"/>
      <c r="T38" s="259"/>
      <c r="U38" s="259"/>
      <c r="V38" s="259"/>
      <c r="W38" s="259"/>
      <c r="X38" s="259"/>
      <c r="Y38" s="259"/>
      <c r="Z38" s="259"/>
      <c r="AA38" s="259"/>
      <c r="AB38" s="259"/>
      <c r="AC38" s="259"/>
      <c r="AD38" s="259"/>
      <c r="AE38" s="259"/>
      <c r="AF38" s="259"/>
      <c r="AG38" s="259"/>
      <c r="AH38" s="259"/>
      <c r="AI38" s="259"/>
      <c r="AJ38" s="259"/>
      <c r="AK38" s="259"/>
      <c r="AL38" s="259"/>
      <c r="AM38" s="259"/>
      <c r="AN38" s="259"/>
      <c r="AO38" s="259"/>
      <c r="AP38" s="259"/>
      <c r="AQ38" s="259"/>
      <c r="AR38" s="259"/>
      <c r="AS38" s="259"/>
      <c r="AT38" s="259"/>
      <c r="AU38" s="259"/>
      <c r="AV38" s="259"/>
      <c r="AW38" s="259"/>
      <c r="AX38" s="259"/>
      <c r="AY38" s="259"/>
      <c r="AZ38" s="259"/>
      <c r="BA38" s="259"/>
      <c r="BB38" s="259"/>
      <c r="BC38" s="259"/>
      <c r="BD38" s="259"/>
      <c r="BE38" s="259"/>
      <c r="BF38" s="259"/>
      <c r="BG38" s="259"/>
      <c r="BH38" s="261">
        <f t="shared" si="0"/>
        <v>1912000</v>
      </c>
    </row>
    <row r="39" spans="1:60" s="244" customFormat="1">
      <c r="A39" s="255">
        <v>46084</v>
      </c>
      <c r="B39" s="256" t="s">
        <v>178</v>
      </c>
      <c r="C39" s="257">
        <v>7259</v>
      </c>
      <c r="D39" s="258">
        <v>11063</v>
      </c>
      <c r="E39" s="259">
        <v>10903060</v>
      </c>
      <c r="F39" s="259"/>
      <c r="G39" s="259"/>
      <c r="H39" s="259"/>
      <c r="I39" s="259"/>
      <c r="J39" s="259"/>
      <c r="K39" s="259"/>
      <c r="L39" s="259"/>
      <c r="M39" s="259"/>
      <c r="N39" s="259"/>
      <c r="O39" s="259">
        <v>11599000</v>
      </c>
      <c r="P39" s="259"/>
      <c r="Q39" s="259"/>
      <c r="R39" s="259"/>
      <c r="S39" s="259"/>
      <c r="T39" s="259"/>
      <c r="U39" s="259"/>
      <c r="V39" s="259"/>
      <c r="W39" s="259"/>
      <c r="X39" s="259"/>
      <c r="Y39" s="259"/>
      <c r="Z39" s="259"/>
      <c r="AA39" s="259"/>
      <c r="AB39" s="259"/>
      <c r="AC39" s="259"/>
      <c r="AD39" s="259"/>
      <c r="AE39" s="259"/>
      <c r="AF39" s="259"/>
      <c r="AG39" s="259"/>
      <c r="AH39" s="259"/>
      <c r="AI39" s="259"/>
      <c r="AJ39" s="259"/>
      <c r="AK39" s="259"/>
      <c r="AL39" s="259"/>
      <c r="AM39" s="259"/>
      <c r="AN39" s="259"/>
      <c r="AO39" s="259"/>
      <c r="AP39" s="259"/>
      <c r="AQ39" s="259"/>
      <c r="AR39" s="259"/>
      <c r="AS39" s="259"/>
      <c r="AT39" s="259"/>
      <c r="AU39" s="259"/>
      <c r="AV39" s="259"/>
      <c r="AW39" s="259"/>
      <c r="AX39" s="259"/>
      <c r="AY39" s="259"/>
      <c r="AZ39" s="259"/>
      <c r="BA39" s="259"/>
      <c r="BB39" s="259"/>
      <c r="BC39" s="259"/>
      <c r="BD39" s="259"/>
      <c r="BE39" s="259"/>
      <c r="BF39" s="259"/>
      <c r="BG39" s="259"/>
      <c r="BH39" s="261">
        <f t="shared" si="0"/>
        <v>11599000</v>
      </c>
    </row>
    <row r="40" spans="1:60" s="244" customFormat="1">
      <c r="A40" s="255">
        <v>46086</v>
      </c>
      <c r="B40" s="258" t="s">
        <v>168</v>
      </c>
      <c r="C40" s="257">
        <v>7249</v>
      </c>
      <c r="D40" s="258">
        <v>11065</v>
      </c>
      <c r="E40" s="259">
        <v>36218670</v>
      </c>
      <c r="F40" s="259"/>
      <c r="G40" s="259"/>
      <c r="H40" s="259"/>
      <c r="I40" s="259"/>
      <c r="J40" s="259"/>
      <c r="K40" s="259"/>
      <c r="L40" s="259"/>
      <c r="M40" s="259"/>
      <c r="N40" s="259"/>
      <c r="O40" s="259"/>
      <c r="P40" s="259"/>
      <c r="Q40" s="259">
        <v>38530500</v>
      </c>
      <c r="R40" s="259"/>
      <c r="S40" s="259"/>
      <c r="T40" s="259"/>
      <c r="U40" s="259"/>
      <c r="V40" s="259"/>
      <c r="W40" s="259"/>
      <c r="X40" s="259"/>
      <c r="Y40" s="259"/>
      <c r="Z40" s="259"/>
      <c r="AA40" s="259"/>
      <c r="AB40" s="259"/>
      <c r="AC40" s="259"/>
      <c r="AD40" s="259"/>
      <c r="AE40" s="259"/>
      <c r="AF40" s="259"/>
      <c r="AG40" s="259"/>
      <c r="AH40" s="259"/>
      <c r="AI40" s="259"/>
      <c r="AJ40" s="259"/>
      <c r="AK40" s="259"/>
      <c r="AL40" s="259"/>
      <c r="AM40" s="259"/>
      <c r="AN40" s="259"/>
      <c r="AO40" s="259"/>
      <c r="AP40" s="259"/>
      <c r="AQ40" s="259"/>
      <c r="AR40" s="259"/>
      <c r="AS40" s="259"/>
      <c r="AT40" s="259"/>
      <c r="AU40" s="259"/>
      <c r="AV40" s="259"/>
      <c r="AW40" s="259"/>
      <c r="AX40" s="259"/>
      <c r="AY40" s="259"/>
      <c r="AZ40" s="259"/>
      <c r="BA40" s="259"/>
      <c r="BB40" s="259"/>
      <c r="BC40" s="259"/>
      <c r="BD40" s="259"/>
      <c r="BE40" s="259"/>
      <c r="BF40" s="259"/>
      <c r="BG40" s="259"/>
      <c r="BH40" s="261">
        <f t="shared" si="0"/>
        <v>38530500</v>
      </c>
    </row>
    <row r="41" spans="1:60" s="244" customFormat="1">
      <c r="A41" s="255">
        <v>46087</v>
      </c>
      <c r="B41" s="258" t="s">
        <v>174</v>
      </c>
      <c r="C41" s="257">
        <v>7529</v>
      </c>
      <c r="D41" s="258">
        <v>9642</v>
      </c>
      <c r="E41" s="259">
        <v>16327800</v>
      </c>
      <c r="F41" s="259"/>
      <c r="G41" s="259"/>
      <c r="H41" s="259"/>
      <c r="I41" s="259"/>
      <c r="J41" s="259"/>
      <c r="K41" s="259"/>
      <c r="L41" s="259"/>
      <c r="M41" s="259"/>
      <c r="N41" s="259">
        <v>17370000</v>
      </c>
      <c r="O41" s="259"/>
      <c r="P41" s="259"/>
      <c r="Q41" s="259"/>
      <c r="R41" s="259"/>
      <c r="S41" s="259"/>
      <c r="T41" s="259"/>
      <c r="U41" s="259"/>
      <c r="V41" s="259"/>
      <c r="W41" s="259"/>
      <c r="X41" s="259"/>
      <c r="Y41" s="259"/>
      <c r="Z41" s="259"/>
      <c r="AA41" s="259"/>
      <c r="AB41" s="259"/>
      <c r="AC41" s="259"/>
      <c r="AD41" s="259"/>
      <c r="AE41" s="259"/>
      <c r="AF41" s="259"/>
      <c r="AG41" s="259"/>
      <c r="AH41" s="259"/>
      <c r="AI41" s="259"/>
      <c r="AJ41" s="259"/>
      <c r="AK41" s="259"/>
      <c r="AL41" s="259"/>
      <c r="AM41" s="259"/>
      <c r="AN41" s="259"/>
      <c r="AO41" s="259"/>
      <c r="AP41" s="259"/>
      <c r="AQ41" s="259"/>
      <c r="AR41" s="259"/>
      <c r="AS41" s="259"/>
      <c r="AT41" s="259"/>
      <c r="AU41" s="259"/>
      <c r="AV41" s="259"/>
      <c r="AW41" s="259"/>
      <c r="AX41" s="259"/>
      <c r="AY41" s="259"/>
      <c r="AZ41" s="259"/>
      <c r="BA41" s="259"/>
      <c r="BB41" s="259"/>
      <c r="BC41" s="259"/>
      <c r="BD41" s="259"/>
      <c r="BE41" s="259"/>
      <c r="BF41" s="259"/>
      <c r="BG41" s="259"/>
      <c r="BH41" s="261">
        <f t="shared" si="0"/>
        <v>17370000</v>
      </c>
    </row>
    <row r="42" spans="1:60" s="244" customFormat="1">
      <c r="A42" s="255">
        <v>46087</v>
      </c>
      <c r="B42" s="258" t="s">
        <v>183</v>
      </c>
      <c r="C42" s="257">
        <v>7501</v>
      </c>
      <c r="D42" s="258">
        <v>9547</v>
      </c>
      <c r="E42" s="259">
        <v>449000</v>
      </c>
      <c r="F42" s="259"/>
      <c r="G42" s="259"/>
      <c r="H42" s="259"/>
      <c r="I42" s="259"/>
      <c r="J42" s="259"/>
      <c r="K42" s="259"/>
      <c r="L42" s="259"/>
      <c r="M42" s="259">
        <v>449000</v>
      </c>
      <c r="N42" s="259"/>
      <c r="O42" s="259"/>
      <c r="P42" s="259"/>
      <c r="Q42" s="259"/>
      <c r="R42" s="259"/>
      <c r="S42" s="259"/>
      <c r="T42" s="259"/>
      <c r="U42" s="259"/>
      <c r="V42" s="259"/>
      <c r="W42" s="259"/>
      <c r="X42" s="259"/>
      <c r="Y42" s="259"/>
      <c r="Z42" s="259"/>
      <c r="AA42" s="259"/>
      <c r="AB42" s="259"/>
      <c r="AC42" s="259"/>
      <c r="AD42" s="259"/>
      <c r="AE42" s="259"/>
      <c r="AF42" s="259"/>
      <c r="AG42" s="259"/>
      <c r="AH42" s="259"/>
      <c r="AI42" s="259"/>
      <c r="AJ42" s="259"/>
      <c r="AK42" s="259"/>
      <c r="AL42" s="259"/>
      <c r="AM42" s="259"/>
      <c r="AN42" s="259"/>
      <c r="AO42" s="259"/>
      <c r="AP42" s="259"/>
      <c r="AQ42" s="259"/>
      <c r="AR42" s="259"/>
      <c r="AS42" s="259"/>
      <c r="AT42" s="259"/>
      <c r="AU42" s="259"/>
      <c r="AV42" s="259"/>
      <c r="AW42" s="259"/>
      <c r="AX42" s="259"/>
      <c r="AY42" s="259"/>
      <c r="AZ42" s="259"/>
      <c r="BA42" s="259"/>
      <c r="BB42" s="259"/>
      <c r="BC42" s="259"/>
      <c r="BD42" s="259"/>
      <c r="BE42" s="259"/>
      <c r="BF42" s="259"/>
      <c r="BG42" s="259"/>
      <c r="BH42" s="261">
        <f t="shared" si="0"/>
        <v>449000</v>
      </c>
    </row>
    <row r="43" spans="1:60" s="244" customFormat="1">
      <c r="A43" s="269">
        <v>46087</v>
      </c>
      <c r="B43" s="258" t="s">
        <v>93</v>
      </c>
      <c r="C43" s="257">
        <v>7513</v>
      </c>
      <c r="D43" s="258">
        <v>9544</v>
      </c>
      <c r="E43" s="259">
        <v>1050000</v>
      </c>
      <c r="F43" s="259"/>
      <c r="G43" s="259"/>
      <c r="H43" s="259"/>
      <c r="I43" s="259"/>
      <c r="J43" s="259"/>
      <c r="K43" s="259"/>
      <c r="L43" s="259"/>
      <c r="M43" s="259"/>
      <c r="N43" s="259"/>
      <c r="O43" s="259"/>
      <c r="P43" s="259"/>
      <c r="Q43" s="259"/>
      <c r="R43" s="259"/>
      <c r="S43" s="259"/>
      <c r="T43" s="259"/>
      <c r="U43" s="259"/>
      <c r="V43" s="259"/>
      <c r="W43" s="259"/>
      <c r="X43" s="259"/>
      <c r="Y43" s="259"/>
      <c r="Z43" s="259"/>
      <c r="AA43" s="259"/>
      <c r="AB43" s="259"/>
      <c r="AC43" s="259"/>
      <c r="AD43" s="259"/>
      <c r="AE43" s="259"/>
      <c r="AF43" s="259"/>
      <c r="AG43" s="259"/>
      <c r="AH43" s="259"/>
      <c r="AI43" s="259"/>
      <c r="AJ43" s="259"/>
      <c r="AK43" s="259"/>
      <c r="AL43" s="259"/>
      <c r="AM43" s="259"/>
      <c r="AN43" s="259"/>
      <c r="AO43" s="259"/>
      <c r="AP43" s="259"/>
      <c r="AQ43" s="259"/>
      <c r="AR43" s="259"/>
      <c r="AS43" s="259"/>
      <c r="AT43" s="259"/>
      <c r="AU43" s="259">
        <v>1050000</v>
      </c>
      <c r="AV43" s="259"/>
      <c r="AW43" s="259"/>
      <c r="AX43" s="259"/>
      <c r="AY43" s="259"/>
      <c r="AZ43" s="259"/>
      <c r="BA43" s="259"/>
      <c r="BB43" s="259"/>
      <c r="BC43" s="259"/>
      <c r="BD43" s="259"/>
      <c r="BE43" s="259"/>
      <c r="BF43" s="259"/>
      <c r="BG43" s="259"/>
      <c r="BH43" s="261">
        <f t="shared" si="0"/>
        <v>1050000</v>
      </c>
    </row>
    <row r="44" spans="1:60" s="244" customFormat="1">
      <c r="A44" s="255">
        <v>46087</v>
      </c>
      <c r="B44" s="258" t="s">
        <v>183</v>
      </c>
      <c r="C44" s="257">
        <v>7464</v>
      </c>
      <c r="D44" s="258">
        <v>9583</v>
      </c>
      <c r="E44" s="259">
        <v>1009000</v>
      </c>
      <c r="F44" s="259"/>
      <c r="G44" s="259"/>
      <c r="H44" s="259"/>
      <c r="I44" s="259"/>
      <c r="J44" s="259"/>
      <c r="K44" s="259"/>
      <c r="L44" s="259"/>
      <c r="M44" s="259">
        <v>1009000</v>
      </c>
      <c r="N44" s="259"/>
      <c r="O44" s="259"/>
      <c r="P44" s="259"/>
      <c r="Q44" s="259"/>
      <c r="R44" s="259"/>
      <c r="S44" s="259"/>
      <c r="T44" s="259"/>
      <c r="U44" s="259"/>
      <c r="V44" s="259"/>
      <c r="W44" s="259"/>
      <c r="X44" s="259"/>
      <c r="Y44" s="259"/>
      <c r="Z44" s="259"/>
      <c r="AA44" s="259"/>
      <c r="AB44" s="259"/>
      <c r="AC44" s="259"/>
      <c r="AD44" s="259"/>
      <c r="AE44" s="259"/>
      <c r="AF44" s="259"/>
      <c r="AG44" s="259"/>
      <c r="AH44" s="259"/>
      <c r="AI44" s="259"/>
      <c r="AJ44" s="259"/>
      <c r="AK44" s="259"/>
      <c r="AL44" s="259"/>
      <c r="AM44" s="259"/>
      <c r="AN44" s="259"/>
      <c r="AO44" s="259"/>
      <c r="AP44" s="259"/>
      <c r="AQ44" s="259"/>
      <c r="AR44" s="259"/>
      <c r="AS44" s="259"/>
      <c r="AT44" s="259"/>
      <c r="AU44" s="259"/>
      <c r="AV44" s="259"/>
      <c r="AW44" s="259"/>
      <c r="AX44" s="259"/>
      <c r="AY44" s="259"/>
      <c r="AZ44" s="259"/>
      <c r="BA44" s="259"/>
      <c r="BB44" s="259"/>
      <c r="BC44" s="259"/>
      <c r="BD44" s="259"/>
      <c r="BE44" s="259"/>
      <c r="BF44" s="259"/>
      <c r="BG44" s="259"/>
      <c r="BH44" s="261">
        <f t="shared" si="0"/>
        <v>1009000</v>
      </c>
    </row>
    <row r="45" spans="1:60" s="244" customFormat="1">
      <c r="A45" s="269">
        <v>46087</v>
      </c>
      <c r="B45" s="258" t="s">
        <v>74</v>
      </c>
      <c r="C45" s="257">
        <v>7516</v>
      </c>
      <c r="D45" s="258">
        <v>9624</v>
      </c>
      <c r="E45" s="259">
        <v>12722000</v>
      </c>
      <c r="F45" s="259"/>
      <c r="G45" s="259"/>
      <c r="H45" s="259"/>
      <c r="I45" s="259"/>
      <c r="J45" s="259"/>
      <c r="K45" s="259"/>
      <c r="L45" s="259"/>
      <c r="M45" s="259"/>
      <c r="N45" s="259"/>
      <c r="O45" s="259"/>
      <c r="P45" s="259"/>
      <c r="Q45" s="259"/>
      <c r="R45" s="259"/>
      <c r="S45" s="259"/>
      <c r="T45" s="259"/>
      <c r="U45" s="259">
        <f>1650000+6435000+0</f>
        <v>8085000</v>
      </c>
      <c r="V45" s="259">
        <f>597000</f>
        <v>597000</v>
      </c>
      <c r="W45" s="259">
        <f>2600000</f>
        <v>2600000</v>
      </c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>
        <f>540000+600000+200000</f>
        <v>1340000</v>
      </c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V45" s="259"/>
      <c r="AW45" s="259"/>
      <c r="AX45" s="259"/>
      <c r="AY45" s="259">
        <v>100000</v>
      </c>
      <c r="AZ45" s="259"/>
      <c r="BA45" s="259"/>
      <c r="BB45" s="259"/>
      <c r="BC45" s="259"/>
      <c r="BD45" s="259"/>
      <c r="BE45" s="259"/>
      <c r="BF45" s="259"/>
      <c r="BG45" s="259"/>
      <c r="BH45" s="261">
        <f t="shared" si="0"/>
        <v>12722000</v>
      </c>
    </row>
    <row r="46" spans="1:60" s="244" customFormat="1">
      <c r="A46" s="269">
        <v>46087</v>
      </c>
      <c r="B46" s="258" t="s">
        <v>174</v>
      </c>
      <c r="C46" s="257">
        <v>7494</v>
      </c>
      <c r="D46" s="258"/>
      <c r="E46" s="259">
        <v>20702560</v>
      </c>
      <c r="F46" s="259"/>
      <c r="G46" s="259"/>
      <c r="H46" s="259"/>
      <c r="I46" s="259"/>
      <c r="J46" s="259"/>
      <c r="K46" s="259"/>
      <c r="L46" s="259"/>
      <c r="M46" s="259"/>
      <c r="N46" s="259">
        <f>20702560</f>
        <v>20702560</v>
      </c>
      <c r="O46" s="259"/>
      <c r="P46" s="259"/>
      <c r="Q46" s="259"/>
      <c r="R46" s="259"/>
      <c r="S46" s="259"/>
      <c r="T46" s="259"/>
      <c r="U46" s="259"/>
      <c r="V46" s="259"/>
      <c r="W46" s="259"/>
      <c r="X46" s="259"/>
      <c r="Y46" s="259"/>
      <c r="Z46" s="259"/>
      <c r="AA46" s="259"/>
      <c r="AB46" s="259"/>
      <c r="AC46" s="259"/>
      <c r="AD46" s="259"/>
      <c r="AE46" s="259"/>
      <c r="AF46" s="259"/>
      <c r="AG46" s="259"/>
      <c r="AH46" s="259"/>
      <c r="AI46" s="259"/>
      <c r="AJ46" s="259"/>
      <c r="AK46" s="259"/>
      <c r="AL46" s="259"/>
      <c r="AM46" s="259"/>
      <c r="AN46" s="259"/>
      <c r="AO46" s="259"/>
      <c r="AP46" s="259"/>
      <c r="AQ46" s="259"/>
      <c r="AR46" s="259"/>
      <c r="AS46" s="259"/>
      <c r="AT46" s="259"/>
      <c r="AU46" s="259"/>
      <c r="AV46" s="259"/>
      <c r="AW46" s="259"/>
      <c r="AX46" s="259"/>
      <c r="AY46" s="259"/>
      <c r="AZ46" s="259"/>
      <c r="BA46" s="259"/>
      <c r="BB46" s="259"/>
      <c r="BC46" s="259"/>
      <c r="BD46" s="259"/>
      <c r="BE46" s="259"/>
      <c r="BF46" s="259"/>
      <c r="BG46" s="259"/>
      <c r="BH46" s="261">
        <f t="shared" si="0"/>
        <v>20702560</v>
      </c>
    </row>
    <row r="47" spans="1:60" s="244" customFormat="1" hidden="1">
      <c r="A47" s="269">
        <v>46087</v>
      </c>
      <c r="B47" s="258" t="s">
        <v>174</v>
      </c>
      <c r="C47" s="257">
        <v>7528</v>
      </c>
      <c r="D47" s="258"/>
      <c r="E47" s="259">
        <v>0</v>
      </c>
      <c r="F47" s="259"/>
      <c r="G47" s="259"/>
      <c r="H47" s="259"/>
      <c r="I47" s="259"/>
      <c r="J47" s="259"/>
      <c r="K47" s="259"/>
      <c r="L47" s="259"/>
      <c r="M47" s="259"/>
      <c r="N47" s="259">
        <v>0</v>
      </c>
      <c r="O47" s="259"/>
      <c r="P47" s="259"/>
      <c r="Q47" s="259"/>
      <c r="R47" s="259"/>
      <c r="S47" s="259"/>
      <c r="T47" s="259"/>
      <c r="U47" s="259"/>
      <c r="V47" s="259"/>
      <c r="W47" s="259"/>
      <c r="X47" s="259"/>
      <c r="Y47" s="259"/>
      <c r="Z47" s="259"/>
      <c r="AA47" s="259"/>
      <c r="AB47" s="259"/>
      <c r="AC47" s="259"/>
      <c r="AD47" s="259"/>
      <c r="AE47" s="259"/>
      <c r="AF47" s="259"/>
      <c r="AG47" s="259"/>
      <c r="AH47" s="259"/>
      <c r="AI47" s="259"/>
      <c r="AJ47" s="259"/>
      <c r="AK47" s="259"/>
      <c r="AL47" s="259"/>
      <c r="AM47" s="259"/>
      <c r="AN47" s="259"/>
      <c r="AO47" s="259"/>
      <c r="AP47" s="259"/>
      <c r="AQ47" s="259"/>
      <c r="AR47" s="259"/>
      <c r="AS47" s="259"/>
      <c r="AT47" s="259"/>
      <c r="AU47" s="259"/>
      <c r="AV47" s="259"/>
      <c r="AW47" s="259"/>
      <c r="AX47" s="259"/>
      <c r="AY47" s="259"/>
      <c r="AZ47" s="259"/>
      <c r="BA47" s="259"/>
      <c r="BB47" s="259"/>
      <c r="BC47" s="259"/>
      <c r="BD47" s="259"/>
      <c r="BE47" s="259"/>
      <c r="BF47" s="259"/>
      <c r="BG47" s="259"/>
      <c r="BH47" s="261">
        <f t="shared" si="0"/>
        <v>0</v>
      </c>
    </row>
    <row r="48" spans="1:60" s="244" customFormat="1">
      <c r="A48" s="255">
        <v>46087</v>
      </c>
      <c r="B48" s="258" t="s">
        <v>184</v>
      </c>
      <c r="C48" s="257">
        <v>7495</v>
      </c>
      <c r="D48" s="258" t="s">
        <v>185</v>
      </c>
      <c r="E48" s="259">
        <v>36113860</v>
      </c>
      <c r="F48" s="259"/>
      <c r="G48" s="259"/>
      <c r="H48" s="259"/>
      <c r="I48" s="259"/>
      <c r="J48" s="259"/>
      <c r="K48" s="259"/>
      <c r="L48" s="259"/>
      <c r="M48" s="259"/>
      <c r="N48" s="259"/>
      <c r="O48" s="259"/>
      <c r="P48" s="259"/>
      <c r="Q48" s="259"/>
      <c r="R48" s="259"/>
      <c r="S48" s="259"/>
      <c r="T48" s="259"/>
      <c r="U48" s="259">
        <v>33770000</v>
      </c>
      <c r="V48" s="259">
        <f>4649000</f>
        <v>4649000</v>
      </c>
      <c r="W48" s="259"/>
      <c r="X48" s="259"/>
      <c r="Y48" s="259"/>
      <c r="Z48" s="259"/>
      <c r="AA48" s="259"/>
      <c r="AB48" s="259"/>
      <c r="AC48" s="259"/>
      <c r="AD48" s="259"/>
      <c r="AE48" s="259"/>
      <c r="AF48" s="259"/>
      <c r="AG48" s="259"/>
      <c r="AH48" s="259"/>
      <c r="AI48" s="259"/>
      <c r="AJ48" s="259"/>
      <c r="AK48" s="259"/>
      <c r="AL48" s="259"/>
      <c r="AM48" s="259"/>
      <c r="AN48" s="259"/>
      <c r="AO48" s="259"/>
      <c r="AP48" s="259"/>
      <c r="AQ48" s="259"/>
      <c r="AR48" s="259"/>
      <c r="AS48" s="259"/>
      <c r="AT48" s="259"/>
      <c r="AU48" s="259"/>
      <c r="AV48" s="259"/>
      <c r="AW48" s="259"/>
      <c r="AX48" s="259"/>
      <c r="AY48" s="259"/>
      <c r="AZ48" s="259"/>
      <c r="BA48" s="259"/>
      <c r="BB48" s="259"/>
      <c r="BC48" s="259"/>
      <c r="BD48" s="259"/>
      <c r="BE48" s="259"/>
      <c r="BF48" s="259"/>
      <c r="BG48" s="259"/>
      <c r="BH48" s="261">
        <f t="shared" si="0"/>
        <v>38419000</v>
      </c>
    </row>
    <row r="49" spans="1:60" s="244" customFormat="1">
      <c r="A49" s="255">
        <v>46087</v>
      </c>
      <c r="B49" s="258" t="s">
        <v>121</v>
      </c>
      <c r="C49" s="257">
        <v>7502</v>
      </c>
      <c r="D49" s="258"/>
      <c r="E49" s="259">
        <v>1316000</v>
      </c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X49" s="259"/>
      <c r="Y49" s="259"/>
      <c r="Z49" s="259"/>
      <c r="AA49" s="259"/>
      <c r="AB49" s="259"/>
      <c r="AC49" s="259"/>
      <c r="AD49" s="259"/>
      <c r="AE49" s="259"/>
      <c r="AF49" s="259"/>
      <c r="AG49" s="259"/>
      <c r="AH49" s="259"/>
      <c r="AI49" s="259"/>
      <c r="AJ49" s="259"/>
      <c r="AK49" s="259"/>
      <c r="AL49" s="259"/>
      <c r="AM49" s="259"/>
      <c r="AN49" s="259"/>
      <c r="AO49" s="259"/>
      <c r="AP49" s="259"/>
      <c r="AQ49" s="259"/>
      <c r="AR49" s="259"/>
      <c r="AS49" s="259"/>
      <c r="AT49" s="259"/>
      <c r="AU49" s="259"/>
      <c r="AV49" s="259"/>
      <c r="AW49" s="259"/>
      <c r="AX49" s="259"/>
      <c r="AY49" s="259"/>
      <c r="AZ49" s="259"/>
      <c r="BA49" s="259"/>
      <c r="BB49" s="259"/>
      <c r="BC49" s="259"/>
      <c r="BD49" s="259"/>
      <c r="BE49" s="259">
        <v>1400000</v>
      </c>
      <c r="BF49" s="259"/>
      <c r="BG49" s="259"/>
      <c r="BH49" s="261">
        <f t="shared" si="0"/>
        <v>1400000</v>
      </c>
    </row>
    <row r="50" spans="1:60" s="244" customFormat="1">
      <c r="A50" s="269">
        <v>46087</v>
      </c>
      <c r="B50" s="258" t="s">
        <v>186</v>
      </c>
      <c r="C50" s="257">
        <v>7485</v>
      </c>
      <c r="D50" s="258">
        <v>9559</v>
      </c>
      <c r="E50" s="259">
        <v>200000</v>
      </c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X50" s="259"/>
      <c r="Y50" s="259"/>
      <c r="Z50" s="259"/>
      <c r="AA50" s="259"/>
      <c r="AB50" s="259"/>
      <c r="AC50" s="259"/>
      <c r="AD50" s="259"/>
      <c r="AE50" s="259"/>
      <c r="AF50" s="259"/>
      <c r="AG50" s="259"/>
      <c r="AH50" s="259"/>
      <c r="AI50" s="259"/>
      <c r="AJ50" s="259"/>
      <c r="AK50" s="259"/>
      <c r="AL50" s="259"/>
      <c r="AM50" s="259"/>
      <c r="AN50" s="259"/>
      <c r="AO50" s="259"/>
      <c r="AP50" s="259"/>
      <c r="AQ50" s="259">
        <v>200000</v>
      </c>
      <c r="AR50" s="259"/>
      <c r="AS50" s="259"/>
      <c r="AT50" s="259"/>
      <c r="AU50" s="259"/>
      <c r="AV50" s="259"/>
      <c r="AW50" s="259"/>
      <c r="AX50" s="259"/>
      <c r="AY50" s="259"/>
      <c r="AZ50" s="259"/>
      <c r="BA50" s="259"/>
      <c r="BB50" s="259"/>
      <c r="BC50" s="259"/>
      <c r="BD50" s="259"/>
      <c r="BE50" s="259"/>
      <c r="BF50" s="259"/>
      <c r="BG50" s="259"/>
      <c r="BH50" s="261">
        <f t="shared" si="0"/>
        <v>200000</v>
      </c>
    </row>
    <row r="51" spans="1:60" s="244" customFormat="1">
      <c r="A51" s="269">
        <v>46087</v>
      </c>
      <c r="B51" s="258" t="s">
        <v>187</v>
      </c>
      <c r="C51" s="257">
        <v>7492</v>
      </c>
      <c r="D51" s="258">
        <v>11385</v>
      </c>
      <c r="E51" s="259">
        <v>1125000</v>
      </c>
      <c r="F51" s="259"/>
      <c r="G51" s="259"/>
      <c r="H51" s="259"/>
      <c r="I51" s="259"/>
      <c r="J51" s="259"/>
      <c r="K51" s="259"/>
      <c r="L51" s="259"/>
      <c r="M51" s="259"/>
      <c r="N51" s="259"/>
      <c r="O51" s="259"/>
      <c r="P51" s="259"/>
      <c r="Q51" s="259"/>
      <c r="R51" s="259"/>
      <c r="S51" s="259"/>
      <c r="T51" s="259"/>
      <c r="U51" s="259"/>
      <c r="V51" s="259"/>
      <c r="W51" s="259"/>
      <c r="X51" s="259"/>
      <c r="Y51" s="259"/>
      <c r="Z51" s="259"/>
      <c r="AA51" s="259"/>
      <c r="AB51" s="259"/>
      <c r="AC51" s="259"/>
      <c r="AD51" s="259"/>
      <c r="AE51" s="259"/>
      <c r="AF51" s="259"/>
      <c r="AG51" s="259"/>
      <c r="AH51" s="259"/>
      <c r="AI51" s="259"/>
      <c r="AJ51" s="259"/>
      <c r="AK51" s="259"/>
      <c r="AL51" s="259">
        <v>1125000</v>
      </c>
      <c r="AM51" s="259"/>
      <c r="AN51" s="259"/>
      <c r="AO51" s="259"/>
      <c r="AP51" s="259"/>
      <c r="AQ51" s="259"/>
      <c r="AR51" s="259"/>
      <c r="AS51" s="259"/>
      <c r="AT51" s="259"/>
      <c r="AU51" s="259"/>
      <c r="AV51" s="259"/>
      <c r="AW51" s="259"/>
      <c r="AX51" s="259"/>
      <c r="AY51" s="259"/>
      <c r="AZ51" s="259"/>
      <c r="BA51" s="259"/>
      <c r="BB51" s="259"/>
      <c r="BC51" s="259"/>
      <c r="BD51" s="259"/>
      <c r="BE51" s="259"/>
      <c r="BF51" s="259"/>
      <c r="BG51" s="259"/>
      <c r="BH51" s="261">
        <f t="shared" si="0"/>
        <v>1125000</v>
      </c>
    </row>
    <row r="52" spans="1:60" s="244" customFormat="1">
      <c r="A52" s="269">
        <v>46087</v>
      </c>
      <c r="B52" s="258" t="s">
        <v>188</v>
      </c>
      <c r="C52" s="257">
        <v>7515</v>
      </c>
      <c r="D52" s="258">
        <v>9596</v>
      </c>
      <c r="E52" s="259">
        <v>1710000</v>
      </c>
      <c r="F52" s="259"/>
      <c r="G52" s="259"/>
      <c r="H52" s="259"/>
      <c r="I52" s="259"/>
      <c r="J52" s="259"/>
      <c r="K52" s="259"/>
      <c r="L52" s="259"/>
      <c r="M52" s="259"/>
      <c r="N52" s="259"/>
      <c r="O52" s="259"/>
      <c r="P52" s="259"/>
      <c r="Q52" s="259"/>
      <c r="R52" s="259"/>
      <c r="S52" s="259"/>
      <c r="T52" s="259"/>
      <c r="U52" s="259"/>
      <c r="V52" s="259"/>
      <c r="W52" s="259"/>
      <c r="X52" s="259"/>
      <c r="Y52" s="259"/>
      <c r="Z52" s="259"/>
      <c r="AA52" s="259"/>
      <c r="AB52" s="259"/>
      <c r="AC52" s="259"/>
      <c r="AD52" s="259"/>
      <c r="AE52" s="259"/>
      <c r="AF52" s="259"/>
      <c r="AG52" s="259"/>
      <c r="AH52" s="259"/>
      <c r="AI52" s="259"/>
      <c r="AJ52" s="259"/>
      <c r="AK52" s="259"/>
      <c r="AL52" s="259"/>
      <c r="AM52" s="259"/>
      <c r="AN52" s="259"/>
      <c r="AO52" s="259"/>
      <c r="AP52" s="259"/>
      <c r="AQ52" s="259"/>
      <c r="AR52" s="259"/>
      <c r="AS52" s="259"/>
      <c r="AT52" s="259"/>
      <c r="AU52" s="259"/>
      <c r="AV52" s="259"/>
      <c r="AW52" s="259"/>
      <c r="AX52" s="259">
        <v>1710000</v>
      </c>
      <c r="AY52" s="259"/>
      <c r="AZ52" s="259"/>
      <c r="BA52" s="259"/>
      <c r="BB52" s="259"/>
      <c r="BC52" s="259"/>
      <c r="BD52" s="259"/>
      <c r="BE52" s="259"/>
      <c r="BF52" s="259"/>
      <c r="BG52" s="259"/>
      <c r="BH52" s="261">
        <f t="shared" si="0"/>
        <v>1710000</v>
      </c>
    </row>
    <row r="53" spans="1:60" s="244" customFormat="1">
      <c r="A53" s="269">
        <v>46087</v>
      </c>
      <c r="B53" s="258" t="s">
        <v>189</v>
      </c>
      <c r="C53" s="257">
        <v>7507</v>
      </c>
      <c r="D53" s="258">
        <v>9535</v>
      </c>
      <c r="E53" s="259">
        <v>330000</v>
      </c>
      <c r="F53" s="259"/>
      <c r="G53" s="259"/>
      <c r="H53" s="259"/>
      <c r="I53" s="259">
        <v>330000</v>
      </c>
      <c r="J53" s="259"/>
      <c r="K53" s="259"/>
      <c r="L53" s="259"/>
      <c r="M53" s="259"/>
      <c r="N53" s="259"/>
      <c r="O53" s="259"/>
      <c r="P53" s="259"/>
      <c r="Q53" s="259"/>
      <c r="R53" s="259"/>
      <c r="S53" s="259"/>
      <c r="T53" s="259"/>
      <c r="U53" s="259"/>
      <c r="V53" s="259"/>
      <c r="W53" s="259"/>
      <c r="X53" s="259"/>
      <c r="Y53" s="259"/>
      <c r="Z53" s="259"/>
      <c r="AA53" s="259"/>
      <c r="AB53" s="259"/>
      <c r="AC53" s="259"/>
      <c r="AD53" s="259"/>
      <c r="AE53" s="259"/>
      <c r="AF53" s="259"/>
      <c r="AG53" s="259"/>
      <c r="AH53" s="259"/>
      <c r="AI53" s="259"/>
      <c r="AJ53" s="259"/>
      <c r="AK53" s="259"/>
      <c r="AL53" s="259"/>
      <c r="AM53" s="259"/>
      <c r="AN53" s="259"/>
      <c r="AO53" s="259"/>
      <c r="AP53" s="259"/>
      <c r="AQ53" s="259"/>
      <c r="AR53" s="259"/>
      <c r="AS53" s="259"/>
      <c r="AT53" s="259"/>
      <c r="AU53" s="259"/>
      <c r="AV53" s="259"/>
      <c r="AW53" s="259"/>
      <c r="AX53" s="259"/>
      <c r="AY53" s="259"/>
      <c r="AZ53" s="259"/>
      <c r="BA53" s="259"/>
      <c r="BB53" s="259"/>
      <c r="BC53" s="259"/>
      <c r="BD53" s="259"/>
      <c r="BE53" s="259"/>
      <c r="BF53" s="259"/>
      <c r="BG53" s="259"/>
      <c r="BH53" s="261">
        <f t="shared" si="0"/>
        <v>330000</v>
      </c>
    </row>
    <row r="54" spans="1:60" s="244" customFormat="1">
      <c r="A54" s="255">
        <v>46087</v>
      </c>
      <c r="B54" s="258" t="s">
        <v>190</v>
      </c>
      <c r="C54" s="257">
        <v>7526</v>
      </c>
      <c r="D54" s="258">
        <v>9633</v>
      </c>
      <c r="E54" s="259">
        <v>68182900</v>
      </c>
      <c r="F54" s="259"/>
      <c r="G54" s="259"/>
      <c r="H54" s="259"/>
      <c r="I54" s="259"/>
      <c r="J54" s="259"/>
      <c r="K54" s="259"/>
      <c r="L54" s="259"/>
      <c r="M54" s="259"/>
      <c r="N54" s="259"/>
      <c r="O54" s="259"/>
      <c r="P54" s="259"/>
      <c r="Q54" s="259"/>
      <c r="R54" s="259"/>
      <c r="S54" s="259"/>
      <c r="T54" s="259"/>
      <c r="U54" s="259"/>
      <c r="V54" s="259"/>
      <c r="W54" s="259"/>
      <c r="X54" s="259"/>
      <c r="Y54" s="259"/>
      <c r="Z54" s="259">
        <f>22000000+19250000+14025000</f>
        <v>55275000</v>
      </c>
      <c r="AA54" s="259">
        <f>16900000</f>
        <v>16900000</v>
      </c>
      <c r="AB54" s="259">
        <f>360000</f>
        <v>360000</v>
      </c>
      <c r="AC54" s="259"/>
      <c r="AD54" s="259"/>
      <c r="AE54" s="259"/>
      <c r="AF54" s="259"/>
      <c r="AG54" s="259"/>
      <c r="AH54" s="259"/>
      <c r="AI54" s="259"/>
      <c r="AJ54" s="259"/>
      <c r="AK54" s="259"/>
      <c r="AL54" s="259"/>
      <c r="AM54" s="259"/>
      <c r="AN54" s="259"/>
      <c r="AO54" s="259"/>
      <c r="AP54" s="259"/>
      <c r="AQ54" s="259"/>
      <c r="AR54" s="259"/>
      <c r="AS54" s="259"/>
      <c r="AT54" s="259"/>
      <c r="AU54" s="259"/>
      <c r="AV54" s="259"/>
      <c r="AW54" s="259"/>
      <c r="AX54" s="259"/>
      <c r="AY54" s="259"/>
      <c r="AZ54" s="259"/>
      <c r="BA54" s="259"/>
      <c r="BB54" s="259"/>
      <c r="BC54" s="259"/>
      <c r="BD54" s="259"/>
      <c r="BE54" s="259"/>
      <c r="BF54" s="259"/>
      <c r="BG54" s="259"/>
      <c r="BH54" s="261">
        <f t="shared" si="0"/>
        <v>72535000</v>
      </c>
    </row>
    <row r="55" spans="1:60" ht="30">
      <c r="A55" s="136">
        <v>46087</v>
      </c>
      <c r="B55" s="130" t="s">
        <v>174</v>
      </c>
      <c r="C55" s="272">
        <v>7528</v>
      </c>
      <c r="D55" s="69">
        <v>9640</v>
      </c>
      <c r="E55" s="131">
        <v>32434700</v>
      </c>
      <c r="F55" s="131"/>
      <c r="G55" s="131"/>
      <c r="H55" s="131"/>
      <c r="I55" s="131"/>
      <c r="J55" s="131"/>
      <c r="K55" s="131"/>
      <c r="L55" s="131"/>
      <c r="M55" s="131"/>
      <c r="N55" s="131">
        <v>32434700</v>
      </c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  <c r="AA55" s="131"/>
      <c r="AB55" s="131"/>
      <c r="AC55" s="131"/>
      <c r="AD55" s="131"/>
      <c r="AE55" s="131"/>
      <c r="AF55" s="131"/>
      <c r="AG55" s="131"/>
      <c r="AH55" s="131"/>
      <c r="AI55" s="131"/>
      <c r="AJ55" s="131"/>
      <c r="AK55" s="131"/>
      <c r="AL55" s="131"/>
      <c r="AM55" s="131"/>
      <c r="AN55" s="131"/>
      <c r="AO55" s="131"/>
      <c r="AP55" s="131"/>
      <c r="AQ55" s="131"/>
      <c r="AR55" s="131"/>
      <c r="AS55" s="131"/>
      <c r="AT55" s="131"/>
      <c r="AU55" s="131"/>
      <c r="AV55" s="131"/>
      <c r="AW55" s="131"/>
      <c r="AX55" s="131"/>
      <c r="AY55" s="131"/>
      <c r="AZ55" s="131"/>
      <c r="BA55" s="131"/>
      <c r="BB55" s="131"/>
      <c r="BC55" s="131"/>
      <c r="BD55" s="131"/>
      <c r="BE55" s="131"/>
      <c r="BF55" s="131"/>
      <c r="BG55" s="131"/>
      <c r="BH55" s="261">
        <f t="shared" si="0"/>
        <v>32434700</v>
      </c>
    </row>
    <row r="56" spans="1:60" s="244" customFormat="1" ht="30">
      <c r="A56" s="255">
        <v>46090</v>
      </c>
      <c r="B56" s="258" t="s">
        <v>76</v>
      </c>
      <c r="C56" s="257">
        <v>7486</v>
      </c>
      <c r="D56" s="256" t="s">
        <v>191</v>
      </c>
      <c r="E56" s="259">
        <v>1160000</v>
      </c>
      <c r="F56" s="259"/>
      <c r="G56" s="259"/>
      <c r="H56" s="259"/>
      <c r="I56" s="259"/>
      <c r="J56" s="259">
        <v>560000</v>
      </c>
      <c r="K56" s="259"/>
      <c r="L56" s="259"/>
      <c r="M56" s="259"/>
      <c r="N56" s="259"/>
      <c r="O56" s="259"/>
      <c r="P56" s="259"/>
      <c r="Q56" s="259"/>
      <c r="R56" s="259"/>
      <c r="S56" s="259"/>
      <c r="T56" s="259"/>
      <c r="U56" s="259"/>
      <c r="V56" s="259"/>
      <c r="W56" s="259"/>
      <c r="X56" s="259"/>
      <c r="Y56" s="259"/>
      <c r="Z56" s="259"/>
      <c r="AA56" s="259"/>
      <c r="AB56" s="259"/>
      <c r="AC56" s="259"/>
      <c r="AD56" s="259"/>
      <c r="AE56" s="259"/>
      <c r="AF56" s="259"/>
      <c r="AG56" s="259"/>
      <c r="AH56" s="259"/>
      <c r="AI56" s="259"/>
      <c r="AJ56" s="259"/>
      <c r="AK56" s="259"/>
      <c r="AL56" s="259">
        <v>600000</v>
      </c>
      <c r="AM56" s="259"/>
      <c r="AN56" s="259"/>
      <c r="AO56" s="259"/>
      <c r="AP56" s="259"/>
      <c r="AQ56" s="259"/>
      <c r="AR56" s="259"/>
      <c r="AS56" s="259"/>
      <c r="AT56" s="259"/>
      <c r="AU56" s="259"/>
      <c r="AV56" s="259"/>
      <c r="AW56" s="262">
        <f>F56+G56+H56+I56+J56+K56+L56+M56+N56+O56+P56+Q56+R56+S56+T56+U56+V56+W56+X56+Y56+Z56+AA56+AB56+AC56+AD56+AE56+AF56+AG56+AH56+AI56+AJ56+AK56+AL56+AM56+AN56+AO56+AP56+AQ56+AR56+AS56+AT56+AU56+AV56</f>
        <v>1160000</v>
      </c>
      <c r="AX56" s="263"/>
      <c r="AY56" s="263"/>
      <c r="AZ56" s="263"/>
      <c r="BH56" s="261">
        <f t="shared" si="0"/>
        <v>2320000</v>
      </c>
    </row>
    <row r="57" spans="1:60" s="246" customFormat="1" ht="30">
      <c r="A57" s="273">
        <v>46092</v>
      </c>
      <c r="B57" s="274" t="s">
        <v>192</v>
      </c>
      <c r="C57" s="275">
        <v>7520</v>
      </c>
      <c r="D57" s="276">
        <v>9637</v>
      </c>
      <c r="E57" s="277">
        <v>2613200</v>
      </c>
      <c r="F57" s="277"/>
      <c r="G57" s="277"/>
      <c r="H57" s="277"/>
      <c r="I57" s="277"/>
      <c r="J57" s="277"/>
      <c r="K57" s="277"/>
      <c r="L57" s="277"/>
      <c r="M57" s="277"/>
      <c r="N57" s="277"/>
      <c r="O57" s="277"/>
      <c r="P57" s="277"/>
      <c r="Q57" s="277"/>
      <c r="R57" s="277">
        <v>2780000</v>
      </c>
      <c r="S57" s="277"/>
      <c r="T57" s="277"/>
      <c r="U57" s="277"/>
      <c r="V57" s="277"/>
      <c r="W57" s="277"/>
      <c r="X57" s="277"/>
      <c r="Y57" s="277"/>
      <c r="Z57" s="277"/>
      <c r="AA57" s="277"/>
      <c r="AB57" s="277"/>
      <c r="AC57" s="277"/>
      <c r="AD57" s="277"/>
      <c r="AE57" s="277"/>
      <c r="AF57" s="277"/>
      <c r="AG57" s="277"/>
      <c r="AH57" s="277"/>
      <c r="AI57" s="277"/>
      <c r="AJ57" s="277"/>
      <c r="AK57" s="277"/>
      <c r="AL57" s="277"/>
      <c r="AM57" s="277"/>
      <c r="AN57" s="277"/>
      <c r="AO57" s="277"/>
      <c r="AP57" s="277"/>
      <c r="AQ57" s="277"/>
      <c r="AR57" s="277"/>
      <c r="AS57" s="277"/>
      <c r="AT57" s="277"/>
      <c r="AU57" s="277"/>
      <c r="AV57" s="277"/>
      <c r="AW57" s="277"/>
      <c r="AX57" s="277"/>
      <c r="AY57" s="277"/>
      <c r="AZ57" s="277"/>
      <c r="BA57" s="277"/>
      <c r="BB57" s="277"/>
      <c r="BC57" s="277"/>
      <c r="BD57" s="277"/>
      <c r="BE57" s="277"/>
      <c r="BF57" s="277"/>
      <c r="BG57" s="277"/>
      <c r="BH57" s="261">
        <f t="shared" si="0"/>
        <v>2780000</v>
      </c>
    </row>
    <row r="58" spans="1:60" s="246" customFormat="1">
      <c r="A58" s="273">
        <v>46092</v>
      </c>
      <c r="B58" s="276" t="s">
        <v>193</v>
      </c>
      <c r="C58" s="275">
        <v>7465</v>
      </c>
      <c r="D58" s="276">
        <v>9580</v>
      </c>
      <c r="E58" s="277">
        <v>7025000</v>
      </c>
      <c r="F58" s="277"/>
      <c r="G58" s="277"/>
      <c r="H58" s="277"/>
      <c r="I58" s="277"/>
      <c r="J58" s="277"/>
      <c r="K58" s="277"/>
      <c r="L58" s="277"/>
      <c r="M58" s="277"/>
      <c r="N58" s="277"/>
      <c r="O58" s="277">
        <v>7025000</v>
      </c>
      <c r="P58" s="277"/>
      <c r="Q58" s="277"/>
      <c r="R58" s="277"/>
      <c r="S58" s="277"/>
      <c r="T58" s="277"/>
      <c r="U58" s="277"/>
      <c r="V58" s="277"/>
      <c r="W58" s="277"/>
      <c r="X58" s="277"/>
      <c r="Y58" s="277"/>
      <c r="Z58" s="277"/>
      <c r="AA58" s="277"/>
      <c r="AB58" s="277"/>
      <c r="AC58" s="277"/>
      <c r="AD58" s="277"/>
      <c r="AE58" s="277"/>
      <c r="AF58" s="277"/>
      <c r="AG58" s="277"/>
      <c r="AH58" s="277"/>
      <c r="AI58" s="277"/>
      <c r="AJ58" s="277"/>
      <c r="AK58" s="277"/>
      <c r="AL58" s="277"/>
      <c r="AM58" s="277"/>
      <c r="AN58" s="277"/>
      <c r="AO58" s="277"/>
      <c r="AP58" s="277"/>
      <c r="AQ58" s="277"/>
      <c r="AR58" s="277"/>
      <c r="AS58" s="277"/>
      <c r="AT58" s="277"/>
      <c r="AU58" s="277"/>
      <c r="AV58" s="277"/>
      <c r="AW58" s="277"/>
      <c r="AX58" s="277"/>
      <c r="AY58" s="277"/>
      <c r="AZ58" s="277"/>
      <c r="BA58" s="277"/>
      <c r="BB58" s="277"/>
      <c r="BC58" s="277"/>
      <c r="BD58" s="277"/>
      <c r="BE58" s="277"/>
      <c r="BF58" s="277"/>
      <c r="BG58" s="277"/>
      <c r="BH58" s="261">
        <f t="shared" si="0"/>
        <v>7025000</v>
      </c>
    </row>
    <row r="59" spans="1:60" s="244" customFormat="1">
      <c r="A59" s="255">
        <v>46091</v>
      </c>
      <c r="B59" s="258" t="s">
        <v>194</v>
      </c>
      <c r="C59" s="257">
        <v>7521</v>
      </c>
      <c r="D59" s="258">
        <v>9636</v>
      </c>
      <c r="E59" s="259">
        <v>700000</v>
      </c>
      <c r="F59" s="259"/>
      <c r="G59" s="259"/>
      <c r="H59" s="259"/>
      <c r="I59" s="259"/>
      <c r="J59" s="259"/>
      <c r="K59" s="259"/>
      <c r="L59" s="259"/>
      <c r="M59" s="259"/>
      <c r="N59" s="259">
        <v>700000</v>
      </c>
      <c r="O59" s="259"/>
      <c r="P59" s="259"/>
      <c r="Q59" s="259"/>
      <c r="R59" s="259"/>
      <c r="S59" s="259"/>
      <c r="T59" s="259"/>
      <c r="U59" s="259"/>
      <c r="V59" s="259"/>
      <c r="W59" s="259"/>
      <c r="X59" s="259"/>
      <c r="Y59" s="259"/>
      <c r="Z59" s="259"/>
      <c r="AA59" s="259"/>
      <c r="AB59" s="259"/>
      <c r="AC59" s="259"/>
      <c r="AD59" s="259"/>
      <c r="AE59" s="259"/>
      <c r="AF59" s="259"/>
      <c r="AG59" s="259"/>
      <c r="AH59" s="259"/>
      <c r="AI59" s="259"/>
      <c r="AJ59" s="259"/>
      <c r="AK59" s="259"/>
      <c r="AL59" s="259"/>
      <c r="AM59" s="259"/>
      <c r="AN59" s="259"/>
      <c r="AO59" s="259"/>
      <c r="AP59" s="259"/>
      <c r="AQ59" s="259"/>
      <c r="AR59" s="259"/>
      <c r="AS59" s="259"/>
      <c r="AT59" s="259"/>
      <c r="AU59" s="259"/>
      <c r="AV59" s="259"/>
      <c r="AW59" s="259"/>
      <c r="AX59" s="259"/>
      <c r="AY59" s="259"/>
      <c r="AZ59" s="259"/>
      <c r="BA59" s="259"/>
      <c r="BB59" s="259"/>
      <c r="BC59" s="259"/>
      <c r="BD59" s="259"/>
      <c r="BE59" s="259"/>
      <c r="BF59" s="259"/>
      <c r="BG59" s="259"/>
      <c r="BH59" s="261">
        <f t="shared" si="0"/>
        <v>700000</v>
      </c>
    </row>
    <row r="60" spans="1:60" s="244" customFormat="1">
      <c r="A60" s="255">
        <v>46091</v>
      </c>
      <c r="B60" s="258" t="s">
        <v>195</v>
      </c>
      <c r="C60" s="257">
        <v>7466</v>
      </c>
      <c r="D60" s="258">
        <v>9582</v>
      </c>
      <c r="E60" s="259">
        <v>7347200</v>
      </c>
      <c r="F60" s="259"/>
      <c r="G60" s="259"/>
      <c r="H60" s="259"/>
      <c r="I60" s="259"/>
      <c r="J60" s="259"/>
      <c r="K60" s="259"/>
      <c r="L60" s="259"/>
      <c r="M60" s="259"/>
      <c r="N60" s="259"/>
      <c r="O60" s="259"/>
      <c r="P60" s="259"/>
      <c r="Q60" s="259"/>
      <c r="R60" s="259"/>
      <c r="S60" s="259">
        <v>7347000</v>
      </c>
      <c r="T60" s="259"/>
      <c r="U60" s="259"/>
      <c r="V60" s="259"/>
      <c r="W60" s="259"/>
      <c r="X60" s="259"/>
      <c r="Y60" s="259"/>
      <c r="Z60" s="259"/>
      <c r="AA60" s="259"/>
      <c r="AB60" s="259"/>
      <c r="AC60" s="259"/>
      <c r="AD60" s="259"/>
      <c r="AE60" s="259"/>
      <c r="AF60" s="259"/>
      <c r="AG60" s="259"/>
      <c r="AH60" s="259"/>
      <c r="AI60" s="259"/>
      <c r="AJ60" s="259"/>
      <c r="AK60" s="259"/>
      <c r="AL60" s="259"/>
      <c r="AM60" s="259"/>
      <c r="AN60" s="259"/>
      <c r="AO60" s="259"/>
      <c r="AP60" s="259"/>
      <c r="AQ60" s="259"/>
      <c r="AR60" s="259"/>
      <c r="AS60" s="259"/>
      <c r="AT60" s="259"/>
      <c r="AU60" s="259"/>
      <c r="AV60" s="259"/>
      <c r="AW60" s="259"/>
      <c r="AX60" s="259"/>
      <c r="AY60" s="259"/>
      <c r="AZ60" s="259"/>
      <c r="BA60" s="259"/>
      <c r="BB60" s="259"/>
      <c r="BC60" s="259"/>
      <c r="BD60" s="259"/>
      <c r="BE60" s="259"/>
      <c r="BF60" s="259"/>
      <c r="BG60" s="259"/>
      <c r="BH60" s="261">
        <f t="shared" si="0"/>
        <v>7347000</v>
      </c>
    </row>
    <row r="61" spans="1:60" s="244" customFormat="1" ht="18.95" customHeight="1">
      <c r="A61" s="255">
        <v>46090</v>
      </c>
      <c r="B61" s="256" t="s">
        <v>196</v>
      </c>
      <c r="C61" s="257">
        <v>7512</v>
      </c>
      <c r="D61" s="258">
        <v>9542</v>
      </c>
      <c r="E61" s="259">
        <v>1350000</v>
      </c>
      <c r="F61" s="259"/>
      <c r="G61" s="259"/>
      <c r="H61" s="259"/>
      <c r="I61" s="259"/>
      <c r="J61" s="259"/>
      <c r="K61" s="259"/>
      <c r="L61" s="259"/>
      <c r="M61" s="260"/>
      <c r="N61" s="260"/>
      <c r="O61" s="259"/>
      <c r="P61" s="260"/>
      <c r="Q61" s="259"/>
      <c r="R61" s="259"/>
      <c r="S61" s="260"/>
      <c r="T61" s="260"/>
      <c r="U61" s="259"/>
      <c r="V61" s="259"/>
      <c r="W61" s="259"/>
      <c r="X61" s="259"/>
      <c r="Y61" s="260"/>
      <c r="Z61" s="259"/>
      <c r="AA61" s="259"/>
      <c r="AB61" s="259"/>
      <c r="AC61" s="259"/>
      <c r="AD61" s="259"/>
      <c r="AE61" s="259"/>
      <c r="AF61" s="259"/>
      <c r="AG61" s="260"/>
      <c r="AH61" s="260"/>
      <c r="AI61" s="259"/>
      <c r="AJ61" s="259"/>
      <c r="AK61" s="259"/>
      <c r="AL61" s="259">
        <v>1350000</v>
      </c>
      <c r="AM61" s="259"/>
      <c r="AN61" s="259"/>
      <c r="AO61" s="259"/>
      <c r="AP61" s="259"/>
      <c r="AQ61" s="259"/>
      <c r="AR61" s="259"/>
      <c r="AS61" s="259"/>
      <c r="AT61" s="259"/>
      <c r="AU61" s="259"/>
      <c r="AV61" s="259"/>
      <c r="AW61" s="259"/>
      <c r="AX61" s="259"/>
      <c r="AY61" s="259"/>
      <c r="AZ61" s="259"/>
      <c r="BA61" s="259"/>
      <c r="BB61" s="259"/>
      <c r="BC61" s="259"/>
      <c r="BD61" s="259"/>
      <c r="BE61" s="259"/>
      <c r="BF61" s="259"/>
      <c r="BG61" s="259"/>
      <c r="BH61" s="261">
        <f t="shared" si="0"/>
        <v>1350000</v>
      </c>
    </row>
    <row r="62" spans="1:60" s="244" customFormat="1">
      <c r="A62" s="255">
        <v>46088</v>
      </c>
      <c r="B62" s="258" t="s">
        <v>123</v>
      </c>
      <c r="C62" s="257">
        <v>7504</v>
      </c>
      <c r="D62" s="258">
        <v>9533</v>
      </c>
      <c r="E62" s="259">
        <v>1285920</v>
      </c>
      <c r="F62" s="259"/>
      <c r="G62" s="259"/>
      <c r="H62" s="259"/>
      <c r="I62" s="259"/>
      <c r="J62" s="259"/>
      <c r="K62" s="259"/>
      <c r="L62" s="259"/>
      <c r="M62" s="259"/>
      <c r="N62" s="259"/>
      <c r="O62" s="259"/>
      <c r="P62" s="259">
        <v>1368000</v>
      </c>
      <c r="Q62" s="259"/>
      <c r="R62" s="259"/>
      <c r="S62" s="259"/>
      <c r="T62" s="259"/>
      <c r="U62" s="259"/>
      <c r="V62" s="259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V62" s="259"/>
      <c r="AW62" s="259"/>
      <c r="AX62" s="259"/>
      <c r="AY62" s="259"/>
      <c r="AZ62" s="259"/>
      <c r="BA62" s="259"/>
      <c r="BB62" s="259"/>
      <c r="BC62" s="259"/>
      <c r="BD62" s="259"/>
      <c r="BE62" s="259"/>
      <c r="BF62" s="259"/>
      <c r="BG62" s="259"/>
      <c r="BH62" s="261">
        <f t="shared" si="0"/>
        <v>1368000</v>
      </c>
    </row>
    <row r="63" spans="1:60" s="244" customFormat="1">
      <c r="A63" s="255">
        <v>46088</v>
      </c>
      <c r="B63" s="258" t="s">
        <v>178</v>
      </c>
      <c r="C63" s="257">
        <v>7523</v>
      </c>
      <c r="D63" s="258">
        <v>9634</v>
      </c>
      <c r="E63" s="259">
        <v>747000</v>
      </c>
      <c r="F63" s="259"/>
      <c r="G63" s="259"/>
      <c r="H63" s="259"/>
      <c r="I63" s="259"/>
      <c r="J63" s="259"/>
      <c r="K63" s="259"/>
      <c r="L63" s="259"/>
      <c r="M63" s="259"/>
      <c r="N63" s="259"/>
      <c r="O63" s="259"/>
      <c r="P63" s="259"/>
      <c r="Q63" s="259"/>
      <c r="R63" s="259"/>
      <c r="S63" s="259"/>
      <c r="T63" s="259">
        <v>747000</v>
      </c>
      <c r="U63" s="259"/>
      <c r="V63" s="259"/>
      <c r="W63" s="259"/>
      <c r="X63" s="259"/>
      <c r="Y63" s="259"/>
      <c r="Z63" s="259"/>
      <c r="AA63" s="259"/>
      <c r="AB63" s="259"/>
      <c r="AC63" s="259"/>
      <c r="AD63" s="259"/>
      <c r="AE63" s="259"/>
      <c r="AF63" s="259"/>
      <c r="AG63" s="259"/>
      <c r="AH63" s="259"/>
      <c r="AI63" s="259"/>
      <c r="AJ63" s="259"/>
      <c r="AK63" s="259"/>
      <c r="AL63" s="259"/>
      <c r="AM63" s="259"/>
      <c r="AN63" s="259"/>
      <c r="AO63" s="259"/>
      <c r="AP63" s="259"/>
      <c r="AQ63" s="259"/>
      <c r="AR63" s="259"/>
      <c r="AS63" s="259"/>
      <c r="AT63" s="259"/>
      <c r="AU63" s="259"/>
      <c r="AV63" s="259"/>
      <c r="AW63" s="259"/>
      <c r="AX63" s="259"/>
      <c r="AY63" s="259"/>
      <c r="AZ63" s="259"/>
      <c r="BA63" s="259"/>
      <c r="BB63" s="259"/>
      <c r="BC63" s="259"/>
      <c r="BD63" s="259"/>
      <c r="BE63" s="259"/>
      <c r="BF63" s="259"/>
      <c r="BG63" s="259"/>
      <c r="BH63" s="261">
        <f t="shared" si="0"/>
        <v>747000</v>
      </c>
    </row>
    <row r="64" spans="1:60" s="247" customFormat="1">
      <c r="A64" s="278">
        <v>46088</v>
      </c>
      <c r="B64" s="279" t="s">
        <v>168</v>
      </c>
      <c r="C64" s="280" t="s">
        <v>197</v>
      </c>
      <c r="D64" s="279"/>
      <c r="E64" s="281">
        <v>40577920</v>
      </c>
      <c r="F64" s="281"/>
      <c r="G64" s="281"/>
      <c r="H64" s="281"/>
      <c r="I64" s="281"/>
      <c r="J64" s="281"/>
      <c r="K64" s="281"/>
      <c r="L64" s="281"/>
      <c r="M64" s="281"/>
      <c r="N64" s="281"/>
      <c r="O64" s="281"/>
      <c r="P64" s="281"/>
      <c r="Q64" s="281">
        <v>40577920</v>
      </c>
      <c r="R64" s="281"/>
      <c r="S64" s="281"/>
      <c r="T64" s="281"/>
      <c r="U64" s="281"/>
      <c r="V64" s="281"/>
      <c r="W64" s="281"/>
      <c r="X64" s="281"/>
      <c r="Y64" s="281"/>
      <c r="Z64" s="281"/>
      <c r="AA64" s="281"/>
      <c r="AB64" s="281"/>
      <c r="AC64" s="281"/>
      <c r="AD64" s="281"/>
      <c r="AE64" s="281"/>
      <c r="AF64" s="281"/>
      <c r="AG64" s="281"/>
      <c r="AH64" s="281"/>
      <c r="AI64" s="281"/>
      <c r="AJ64" s="281"/>
      <c r="AK64" s="281"/>
      <c r="AL64" s="281"/>
      <c r="AM64" s="281"/>
      <c r="AN64" s="281"/>
      <c r="AO64" s="281"/>
      <c r="AP64" s="281"/>
      <c r="AQ64" s="281"/>
      <c r="AR64" s="281"/>
      <c r="AS64" s="281"/>
      <c r="AT64" s="281"/>
      <c r="AU64" s="281"/>
      <c r="AV64" s="281"/>
      <c r="AW64" s="281"/>
      <c r="AX64" s="281"/>
      <c r="AY64" s="281"/>
      <c r="AZ64" s="281"/>
      <c r="BA64" s="281"/>
      <c r="BB64" s="281"/>
      <c r="BC64" s="281"/>
      <c r="BD64" s="281"/>
      <c r="BE64" s="281"/>
      <c r="BF64" s="281"/>
      <c r="BG64" s="281"/>
      <c r="BH64" s="261">
        <f t="shared" si="0"/>
        <v>40577920</v>
      </c>
    </row>
    <row r="65" spans="1:60" s="246" customFormat="1">
      <c r="A65" s="273">
        <v>46092</v>
      </c>
      <c r="B65" s="276" t="s">
        <v>198</v>
      </c>
      <c r="C65" s="275">
        <v>7524</v>
      </c>
      <c r="D65" s="276">
        <v>9632</v>
      </c>
      <c r="E65" s="277">
        <v>533000</v>
      </c>
      <c r="F65" s="277"/>
      <c r="G65" s="277"/>
      <c r="H65" s="277"/>
      <c r="I65" s="277"/>
      <c r="J65" s="277"/>
      <c r="K65" s="277"/>
      <c r="L65" s="277"/>
      <c r="M65" s="277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Y65" s="277"/>
      <c r="Z65" s="277"/>
      <c r="AA65" s="277"/>
      <c r="AB65" s="277"/>
      <c r="AC65" s="277"/>
      <c r="AD65" s="277"/>
      <c r="AE65" s="277"/>
      <c r="AF65" s="277"/>
      <c r="AG65" s="277"/>
      <c r="AH65" s="277"/>
      <c r="AI65" s="277"/>
      <c r="AJ65" s="277"/>
      <c r="AK65" s="277"/>
      <c r="AL65" s="277"/>
      <c r="AM65" s="277"/>
      <c r="AN65" s="277"/>
      <c r="AO65" s="277"/>
      <c r="AP65" s="277"/>
      <c r="AQ65" s="277"/>
      <c r="AR65" s="277"/>
      <c r="AS65" s="277"/>
      <c r="AT65" s="277"/>
      <c r="AU65" s="277"/>
      <c r="AV65" s="277"/>
      <c r="AW65" s="277"/>
      <c r="AX65" s="277"/>
      <c r="AY65" s="277"/>
      <c r="AZ65" s="277"/>
      <c r="BA65" s="277"/>
      <c r="BB65" s="277"/>
      <c r="BC65" s="277"/>
      <c r="BD65" s="277"/>
      <c r="BE65" s="277"/>
      <c r="BF65" s="277"/>
      <c r="BG65" s="277"/>
      <c r="BH65" s="261">
        <f t="shared" si="0"/>
        <v>0</v>
      </c>
    </row>
    <row r="66" spans="1:60" s="244" customFormat="1">
      <c r="A66" s="255">
        <v>46090</v>
      </c>
      <c r="B66" s="258" t="s">
        <v>199</v>
      </c>
      <c r="C66" s="257">
        <v>7503</v>
      </c>
      <c r="D66" s="258">
        <v>9532</v>
      </c>
      <c r="E66" s="259">
        <v>1551000</v>
      </c>
      <c r="F66" s="259"/>
      <c r="G66" s="259"/>
      <c r="H66" s="259"/>
      <c r="I66" s="259"/>
      <c r="J66" s="259"/>
      <c r="K66" s="259"/>
      <c r="L66" s="259"/>
      <c r="M66" s="259"/>
      <c r="N66" s="259"/>
      <c r="O66" s="259"/>
      <c r="P66" s="259"/>
      <c r="Q66" s="259"/>
      <c r="R66" s="259"/>
      <c r="S66" s="259"/>
      <c r="T66" s="259"/>
      <c r="U66" s="259"/>
      <c r="V66" s="259"/>
      <c r="W66" s="259"/>
      <c r="X66" s="259">
        <v>1650000</v>
      </c>
      <c r="Y66" s="259"/>
      <c r="Z66" s="259"/>
      <c r="AA66" s="259"/>
      <c r="AB66" s="259"/>
      <c r="AC66" s="259"/>
      <c r="AD66" s="259"/>
      <c r="AE66" s="259"/>
      <c r="AF66" s="259"/>
      <c r="AG66" s="259"/>
      <c r="AH66" s="259"/>
      <c r="AI66" s="259"/>
      <c r="AJ66" s="259"/>
      <c r="AK66" s="259"/>
      <c r="AL66" s="259"/>
      <c r="AM66" s="259"/>
      <c r="AN66" s="259"/>
      <c r="AO66" s="259"/>
      <c r="AP66" s="259"/>
      <c r="AQ66" s="259"/>
      <c r="AR66" s="259"/>
      <c r="AS66" s="259"/>
      <c r="AT66" s="259"/>
      <c r="AU66" s="259"/>
      <c r="AV66" s="259"/>
      <c r="AW66" s="259"/>
      <c r="AX66" s="259"/>
      <c r="AY66" s="259"/>
      <c r="AZ66" s="259"/>
      <c r="BA66" s="259"/>
      <c r="BB66" s="259"/>
      <c r="BC66" s="259"/>
      <c r="BD66" s="259"/>
      <c r="BE66" s="259"/>
      <c r="BF66" s="259"/>
      <c r="BG66" s="259"/>
      <c r="BH66" s="261">
        <f t="shared" si="0"/>
        <v>1650000</v>
      </c>
    </row>
    <row r="67" spans="1:60" s="246" customFormat="1">
      <c r="A67" s="273">
        <v>46094</v>
      </c>
      <c r="B67" s="276" t="s">
        <v>200</v>
      </c>
      <c r="C67" s="275" t="s">
        <v>201</v>
      </c>
      <c r="D67" s="276">
        <v>9638</v>
      </c>
      <c r="E67" s="277">
        <v>60912000</v>
      </c>
      <c r="F67" s="277"/>
      <c r="G67" s="277"/>
      <c r="H67" s="277"/>
      <c r="I67" s="277"/>
      <c r="J67" s="277"/>
      <c r="K67" s="277"/>
      <c r="L67" s="277"/>
      <c r="M67" s="277"/>
      <c r="N67" s="277"/>
      <c r="O67" s="277"/>
      <c r="P67" s="277"/>
      <c r="Q67" s="277"/>
      <c r="R67" s="277"/>
      <c r="S67" s="277"/>
      <c r="T67" s="277"/>
      <c r="U67" s="277"/>
      <c r="V67" s="277"/>
      <c r="W67" s="277"/>
      <c r="X67" s="277"/>
      <c r="Y67" s="277">
        <v>64800000</v>
      </c>
      <c r="Z67" s="277"/>
      <c r="AA67" s="277"/>
      <c r="AB67" s="277"/>
      <c r="AC67" s="277"/>
      <c r="AD67" s="277"/>
      <c r="AE67" s="277"/>
      <c r="AF67" s="277"/>
      <c r="AG67" s="277"/>
      <c r="AH67" s="277"/>
      <c r="AI67" s="277"/>
      <c r="AJ67" s="277"/>
      <c r="AK67" s="277"/>
      <c r="AL67" s="277"/>
      <c r="AM67" s="277"/>
      <c r="AN67" s="277"/>
      <c r="AO67" s="277"/>
      <c r="AP67" s="277"/>
      <c r="AQ67" s="277"/>
      <c r="AR67" s="277"/>
      <c r="AS67" s="277"/>
      <c r="AT67" s="277"/>
      <c r="AU67" s="277"/>
      <c r="AV67" s="277"/>
      <c r="AW67" s="277"/>
      <c r="AX67" s="277"/>
      <c r="AY67" s="277"/>
      <c r="AZ67" s="277"/>
      <c r="BA67" s="277"/>
      <c r="BB67" s="277"/>
      <c r="BC67" s="277"/>
      <c r="BD67" s="277"/>
      <c r="BE67" s="277"/>
      <c r="BF67" s="277"/>
      <c r="BG67" s="277"/>
      <c r="BH67" s="261">
        <f t="shared" si="0"/>
        <v>64800000</v>
      </c>
    </row>
    <row r="68" spans="1:60" s="248" customFormat="1">
      <c r="A68" s="282">
        <v>46092</v>
      </c>
      <c r="B68" s="283" t="s">
        <v>123</v>
      </c>
      <c r="C68" s="284">
        <v>7533</v>
      </c>
      <c r="D68" s="283"/>
      <c r="E68" s="285">
        <v>36660000</v>
      </c>
      <c r="F68" s="285"/>
      <c r="G68" s="285"/>
      <c r="H68" s="285"/>
      <c r="I68" s="285"/>
      <c r="J68" s="285"/>
      <c r="K68" s="285"/>
      <c r="L68" s="285"/>
      <c r="M68" s="285"/>
      <c r="N68" s="285"/>
      <c r="O68" s="285"/>
      <c r="P68" s="285">
        <v>36660000</v>
      </c>
      <c r="Q68" s="285"/>
      <c r="R68" s="285"/>
      <c r="S68" s="285"/>
      <c r="T68" s="285"/>
      <c r="U68" s="285"/>
      <c r="V68" s="285"/>
      <c r="W68" s="285"/>
      <c r="X68" s="285"/>
      <c r="Y68" s="285"/>
      <c r="Z68" s="285"/>
      <c r="AA68" s="285"/>
      <c r="AB68" s="285"/>
      <c r="AC68" s="285"/>
      <c r="AD68" s="285"/>
      <c r="AE68" s="285"/>
      <c r="AF68" s="285"/>
      <c r="AG68" s="285"/>
      <c r="AH68" s="285"/>
      <c r="AI68" s="285"/>
      <c r="AJ68" s="285"/>
      <c r="AK68" s="285"/>
      <c r="AL68" s="285"/>
      <c r="AM68" s="285"/>
      <c r="AN68" s="285"/>
      <c r="AO68" s="285"/>
      <c r="AP68" s="285"/>
      <c r="AQ68" s="285"/>
      <c r="AR68" s="285"/>
      <c r="AS68" s="285"/>
      <c r="AT68" s="285"/>
      <c r="AU68" s="285"/>
      <c r="AV68" s="285"/>
      <c r="AW68" s="285"/>
      <c r="AX68" s="285"/>
      <c r="AY68" s="285"/>
      <c r="AZ68" s="285"/>
      <c r="BA68" s="285"/>
      <c r="BB68" s="285"/>
      <c r="BC68" s="285"/>
      <c r="BD68" s="285"/>
      <c r="BE68" s="285"/>
      <c r="BF68" s="285"/>
      <c r="BG68" s="285"/>
      <c r="BH68" s="261">
        <f t="shared" si="0"/>
        <v>36660000</v>
      </c>
    </row>
    <row r="69" spans="1:60" s="248" customFormat="1">
      <c r="A69" s="282">
        <v>46087</v>
      </c>
      <c r="B69" s="283" t="s">
        <v>202</v>
      </c>
      <c r="C69" s="284">
        <v>7541</v>
      </c>
      <c r="D69" s="283">
        <v>9650</v>
      </c>
      <c r="E69" s="285">
        <v>4000000</v>
      </c>
      <c r="F69" s="285"/>
      <c r="G69" s="285"/>
      <c r="H69" s="285"/>
      <c r="I69" s="285"/>
      <c r="J69" s="285"/>
      <c r="K69" s="285"/>
      <c r="L69" s="285"/>
      <c r="M69" s="285"/>
      <c r="N69" s="285"/>
      <c r="O69" s="285"/>
      <c r="P69" s="285"/>
      <c r="Q69" s="285"/>
      <c r="R69" s="285"/>
      <c r="S69" s="285"/>
      <c r="T69" s="285"/>
      <c r="U69" s="285"/>
      <c r="V69" s="285"/>
      <c r="W69" s="285"/>
      <c r="X69" s="285"/>
      <c r="Y69" s="285"/>
      <c r="Z69" s="285"/>
      <c r="AA69" s="285"/>
      <c r="AB69" s="285"/>
      <c r="AC69" s="285"/>
      <c r="AD69" s="285"/>
      <c r="AE69" s="285"/>
      <c r="AF69" s="285"/>
      <c r="AG69" s="285">
        <v>4000000</v>
      </c>
      <c r="AH69" s="285"/>
      <c r="AI69" s="285"/>
      <c r="AJ69" s="285"/>
      <c r="AK69" s="285"/>
      <c r="AL69" s="285"/>
      <c r="AM69" s="285"/>
      <c r="AN69" s="285"/>
      <c r="AO69" s="285"/>
      <c r="AP69" s="285"/>
      <c r="AQ69" s="285"/>
      <c r="AR69" s="285"/>
      <c r="AS69" s="285"/>
      <c r="AT69" s="285"/>
      <c r="AU69" s="285"/>
      <c r="AV69" s="285"/>
      <c r="AW69" s="285"/>
      <c r="AX69" s="285"/>
      <c r="AY69" s="285"/>
      <c r="AZ69" s="285"/>
      <c r="BA69" s="285"/>
      <c r="BB69" s="285"/>
      <c r="BC69" s="285"/>
      <c r="BD69" s="285"/>
      <c r="BE69" s="285"/>
      <c r="BF69" s="285"/>
      <c r="BG69" s="285"/>
      <c r="BH69" s="261">
        <f t="shared" ref="BH69:BH112" si="1">F69+H69+I69+J69+K69+L69+M69+N69+O69+P69+Q69+R69+S69+T69+U69+V69+W69+X69+Y69+Z69+AA69+AB69+AC69+AD69+AE69+AF69+AG69+AH69+AI69+AJ69+AK69+AL69+AM69+AN69+AO69+AP69+AQ69+AR69+AS69+AT69+AU69+AV69+AW69+AX69+AY69+AZ69+BA69+BB69+BC69+BD69+BE69+BF69+BG69</f>
        <v>4000000</v>
      </c>
    </row>
    <row r="70" spans="1:60">
      <c r="A70" s="136">
        <v>46087</v>
      </c>
      <c r="B70" s="69" t="s">
        <v>203</v>
      </c>
      <c r="C70" s="272">
        <v>7496</v>
      </c>
      <c r="D70" s="69">
        <v>9622</v>
      </c>
      <c r="E70" s="131">
        <v>22024000</v>
      </c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  <c r="AA70" s="131"/>
      <c r="AB70" s="131"/>
      <c r="AC70" s="131"/>
      <c r="AD70" s="131"/>
      <c r="AE70" s="131"/>
      <c r="AF70" s="131"/>
      <c r="AG70" s="131"/>
      <c r="AH70" s="131">
        <v>22024000</v>
      </c>
      <c r="AI70" s="131"/>
      <c r="AJ70" s="131"/>
      <c r="AK70" s="131"/>
      <c r="AL70" s="131"/>
      <c r="AM70" s="131"/>
      <c r="AN70" s="131"/>
      <c r="AO70" s="131"/>
      <c r="AP70" s="131"/>
      <c r="AQ70" s="131"/>
      <c r="AR70" s="131"/>
      <c r="AS70" s="131"/>
      <c r="AT70" s="131"/>
      <c r="AU70" s="131"/>
      <c r="AV70" s="131"/>
      <c r="AW70" s="131"/>
      <c r="AX70" s="131"/>
      <c r="AY70" s="131"/>
      <c r="AZ70" s="131"/>
      <c r="BA70" s="131"/>
      <c r="BB70" s="131"/>
      <c r="BC70" s="131"/>
      <c r="BD70" s="131"/>
      <c r="BE70" s="131"/>
      <c r="BF70" s="131"/>
      <c r="BG70" s="131"/>
      <c r="BH70" s="261">
        <f t="shared" si="1"/>
        <v>22024000</v>
      </c>
    </row>
    <row r="71" spans="1:60" s="247" customFormat="1">
      <c r="A71" s="278">
        <v>46091</v>
      </c>
      <c r="B71" s="279" t="s">
        <v>178</v>
      </c>
      <c r="C71" s="280">
        <v>7542</v>
      </c>
      <c r="D71" s="279"/>
      <c r="E71" s="281">
        <v>15960000</v>
      </c>
      <c r="F71" s="281"/>
      <c r="G71" s="281"/>
      <c r="H71" s="281"/>
      <c r="I71" s="281"/>
      <c r="J71" s="281"/>
      <c r="K71" s="281"/>
      <c r="L71" s="281"/>
      <c r="M71" s="281"/>
      <c r="N71" s="281"/>
      <c r="O71" s="281"/>
      <c r="P71" s="281"/>
      <c r="Q71" s="281"/>
      <c r="R71" s="281"/>
      <c r="S71" s="281"/>
      <c r="T71" s="281"/>
      <c r="U71" s="281"/>
      <c r="V71" s="281"/>
      <c r="W71" s="281"/>
      <c r="X71" s="281"/>
      <c r="Y71" s="281"/>
      <c r="Z71" s="281"/>
      <c r="AA71" s="281"/>
      <c r="AB71" s="281"/>
      <c r="AC71" s="281">
        <v>15960000</v>
      </c>
      <c r="AD71" s="281"/>
      <c r="AE71" s="281"/>
      <c r="AF71" s="281"/>
      <c r="AG71" s="281"/>
      <c r="AH71" s="281"/>
      <c r="AI71" s="281"/>
      <c r="AJ71" s="281"/>
      <c r="AK71" s="281"/>
      <c r="AL71" s="281"/>
      <c r="AM71" s="281"/>
      <c r="AN71" s="281"/>
      <c r="AO71" s="281"/>
      <c r="AP71" s="281"/>
      <c r="AQ71" s="281"/>
      <c r="AR71" s="281"/>
      <c r="AS71" s="281"/>
      <c r="AT71" s="281"/>
      <c r="AU71" s="281"/>
      <c r="AV71" s="281"/>
      <c r="AW71" s="281"/>
      <c r="AX71" s="281"/>
      <c r="AY71" s="281"/>
      <c r="AZ71" s="281"/>
      <c r="BA71" s="281"/>
      <c r="BB71" s="281"/>
      <c r="BC71" s="281"/>
      <c r="BD71" s="281"/>
      <c r="BE71" s="281"/>
      <c r="BF71" s="281"/>
      <c r="BG71" s="281"/>
      <c r="BH71" s="261">
        <f t="shared" si="1"/>
        <v>15960000</v>
      </c>
    </row>
    <row r="72" spans="1:60">
      <c r="A72" s="136">
        <v>46092</v>
      </c>
      <c r="B72" s="69" t="s">
        <v>204</v>
      </c>
      <c r="C72" s="272">
        <v>7478</v>
      </c>
      <c r="D72" s="69">
        <v>10527</v>
      </c>
      <c r="E72" s="131">
        <v>1100000</v>
      </c>
      <c r="F72" s="131"/>
      <c r="G72" s="131"/>
      <c r="H72" s="131">
        <v>1100000</v>
      </c>
      <c r="I72" s="131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  <c r="AA72" s="131"/>
      <c r="AB72" s="131"/>
      <c r="AC72" s="131"/>
      <c r="AD72" s="131"/>
      <c r="AE72" s="131"/>
      <c r="AF72" s="131"/>
      <c r="AG72" s="131"/>
      <c r="AH72" s="131"/>
      <c r="AI72" s="131"/>
      <c r="AJ72" s="131"/>
      <c r="AK72" s="131"/>
      <c r="AL72" s="131"/>
      <c r="AM72" s="131"/>
      <c r="AN72" s="131"/>
      <c r="AO72" s="131"/>
      <c r="AP72" s="131"/>
      <c r="AQ72" s="131"/>
      <c r="AR72" s="131"/>
      <c r="AS72" s="131"/>
      <c r="AT72" s="131"/>
      <c r="AU72" s="131"/>
      <c r="AV72" s="131"/>
      <c r="AW72" s="131"/>
      <c r="AX72" s="131"/>
      <c r="AY72" s="131"/>
      <c r="AZ72" s="131"/>
      <c r="BA72" s="131"/>
      <c r="BB72" s="131"/>
      <c r="BC72" s="131"/>
      <c r="BD72" s="131"/>
      <c r="BE72" s="131"/>
      <c r="BF72" s="131"/>
      <c r="BG72" s="131"/>
      <c r="BH72" s="261">
        <f t="shared" si="1"/>
        <v>1100000</v>
      </c>
    </row>
    <row r="73" spans="1:60" s="248" customFormat="1">
      <c r="A73" s="282">
        <v>46092</v>
      </c>
      <c r="B73" s="283" t="s">
        <v>123</v>
      </c>
      <c r="C73" s="284">
        <v>7536</v>
      </c>
      <c r="D73" s="283"/>
      <c r="E73" s="285">
        <v>30080000</v>
      </c>
      <c r="F73" s="285"/>
      <c r="G73" s="285"/>
      <c r="H73" s="285"/>
      <c r="I73" s="285"/>
      <c r="J73" s="285"/>
      <c r="K73" s="285"/>
      <c r="L73" s="285"/>
      <c r="M73" s="285"/>
      <c r="N73" s="285"/>
      <c r="O73" s="285"/>
      <c r="P73" s="285">
        <v>30080000</v>
      </c>
      <c r="Q73" s="285"/>
      <c r="R73" s="285"/>
      <c r="S73" s="285"/>
      <c r="T73" s="285"/>
      <c r="U73" s="285"/>
      <c r="V73" s="285"/>
      <c r="W73" s="285"/>
      <c r="X73" s="285"/>
      <c r="Y73" s="285"/>
      <c r="Z73" s="285"/>
      <c r="AA73" s="285"/>
      <c r="AB73" s="285"/>
      <c r="AC73" s="285"/>
      <c r="AD73" s="285"/>
      <c r="AE73" s="285"/>
      <c r="AF73" s="285"/>
      <c r="AG73" s="285"/>
      <c r="AH73" s="285"/>
      <c r="AI73" s="285"/>
      <c r="AJ73" s="285"/>
      <c r="AK73" s="285"/>
      <c r="AL73" s="285"/>
      <c r="AM73" s="285"/>
      <c r="AN73" s="285"/>
      <c r="AO73" s="285"/>
      <c r="AP73" s="285"/>
      <c r="AQ73" s="285"/>
      <c r="AR73" s="285"/>
      <c r="AS73" s="285"/>
      <c r="AT73" s="285"/>
      <c r="AU73" s="285"/>
      <c r="AV73" s="285"/>
      <c r="AW73" s="285"/>
      <c r="AX73" s="285"/>
      <c r="AY73" s="285"/>
      <c r="AZ73" s="285"/>
      <c r="BA73" s="285"/>
      <c r="BB73" s="285"/>
      <c r="BC73" s="285"/>
      <c r="BD73" s="285"/>
      <c r="BE73" s="285"/>
      <c r="BF73" s="285"/>
      <c r="BG73" s="285"/>
      <c r="BH73" s="261">
        <f t="shared" si="1"/>
        <v>30080000</v>
      </c>
    </row>
    <row r="74" spans="1:60" ht="30">
      <c r="A74" s="286">
        <v>46094</v>
      </c>
      <c r="B74" s="130" t="s">
        <v>205</v>
      </c>
      <c r="C74" s="272">
        <v>7537</v>
      </c>
      <c r="D74" s="69">
        <v>9653</v>
      </c>
      <c r="E74" s="131">
        <v>1304490</v>
      </c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  <c r="AA74" s="131"/>
      <c r="AB74" s="131"/>
      <c r="AC74" s="131"/>
      <c r="AD74" s="131"/>
      <c r="AE74" s="131"/>
      <c r="AF74" s="131"/>
      <c r="AG74" s="131"/>
      <c r="AH74" s="131"/>
      <c r="AI74" s="131"/>
      <c r="AJ74" s="131"/>
      <c r="AK74" s="131"/>
      <c r="AL74" s="131"/>
      <c r="AM74" s="131"/>
      <c r="AN74" s="131"/>
      <c r="AO74" s="131"/>
      <c r="AP74" s="131"/>
      <c r="AQ74" s="131"/>
      <c r="AR74" s="131"/>
      <c r="AS74" s="131"/>
      <c r="AT74" s="131"/>
      <c r="AU74" s="131"/>
      <c r="AV74" s="131"/>
      <c r="AW74" s="131">
        <v>1304490</v>
      </c>
      <c r="AX74" s="131"/>
      <c r="AY74" s="131"/>
      <c r="AZ74" s="131"/>
      <c r="BA74" s="131"/>
      <c r="BB74" s="131"/>
      <c r="BC74" s="131"/>
      <c r="BD74" s="131"/>
      <c r="BE74" s="131"/>
      <c r="BF74" s="131"/>
      <c r="BG74" s="131"/>
      <c r="BH74" s="261">
        <f t="shared" si="1"/>
        <v>1304490</v>
      </c>
    </row>
    <row r="75" spans="1:60" s="244" customFormat="1">
      <c r="A75" s="269">
        <v>46087</v>
      </c>
      <c r="B75" s="258" t="s">
        <v>94</v>
      </c>
      <c r="C75" s="257">
        <v>7352</v>
      </c>
      <c r="D75" s="258">
        <v>11336</v>
      </c>
      <c r="E75" s="259">
        <v>8000000</v>
      </c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59"/>
      <c r="Q75" s="259"/>
      <c r="R75" s="259"/>
      <c r="S75" s="259"/>
      <c r="T75" s="259"/>
      <c r="U75" s="259"/>
      <c r="V75" s="259"/>
      <c r="W75" s="259"/>
      <c r="X75" s="259"/>
      <c r="Y75" s="259"/>
      <c r="Z75" s="259"/>
      <c r="AA75" s="259"/>
      <c r="AB75" s="259"/>
      <c r="AC75" s="259"/>
      <c r="AD75" s="259"/>
      <c r="AE75" s="259"/>
      <c r="AF75" s="259"/>
      <c r="AG75" s="259"/>
      <c r="AH75" s="259"/>
      <c r="AI75" s="259"/>
      <c r="AJ75" s="259"/>
      <c r="AK75" s="259">
        <v>8000000</v>
      </c>
      <c r="AL75" s="259"/>
      <c r="AM75" s="259"/>
      <c r="AN75" s="259"/>
      <c r="AO75" s="259"/>
      <c r="AP75" s="259"/>
      <c r="AQ75" s="259"/>
      <c r="AR75" s="259"/>
      <c r="AS75" s="259"/>
      <c r="AT75" s="259"/>
      <c r="AU75" s="259"/>
      <c r="AV75" s="259"/>
      <c r="AW75" s="259"/>
      <c r="AX75" s="259"/>
      <c r="AY75" s="259"/>
      <c r="AZ75" s="259"/>
      <c r="BA75" s="259"/>
      <c r="BB75" s="259"/>
      <c r="BC75" s="259"/>
      <c r="BD75" s="259"/>
      <c r="BE75" s="259"/>
      <c r="BF75" s="259"/>
      <c r="BG75" s="259"/>
      <c r="BH75" s="261">
        <f t="shared" si="1"/>
        <v>8000000</v>
      </c>
    </row>
    <row r="76" spans="1:60">
      <c r="A76" s="286">
        <v>46087</v>
      </c>
      <c r="B76" s="69" t="s">
        <v>189</v>
      </c>
      <c r="C76" s="272">
        <v>7507</v>
      </c>
      <c r="D76" s="69">
        <v>9535</v>
      </c>
      <c r="E76" s="131">
        <v>330000</v>
      </c>
      <c r="F76" s="131"/>
      <c r="G76" s="131"/>
      <c r="H76" s="131"/>
      <c r="I76" s="131">
        <v>330000</v>
      </c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  <c r="AA76" s="131"/>
      <c r="AB76" s="131"/>
      <c r="AC76" s="131"/>
      <c r="AD76" s="131"/>
      <c r="AE76" s="131"/>
      <c r="AF76" s="131"/>
      <c r="AG76" s="131"/>
      <c r="AH76" s="131"/>
      <c r="AI76" s="131"/>
      <c r="AJ76" s="131"/>
      <c r="AK76" s="131"/>
      <c r="AL76" s="131"/>
      <c r="AM76" s="131"/>
      <c r="AN76" s="131"/>
      <c r="AO76" s="131"/>
      <c r="AP76" s="131"/>
      <c r="AQ76" s="131"/>
      <c r="AR76" s="131"/>
      <c r="AS76" s="131"/>
      <c r="AT76" s="131"/>
      <c r="AU76" s="131"/>
      <c r="AV76" s="131"/>
      <c r="AW76" s="131"/>
      <c r="AX76" s="131"/>
      <c r="AY76" s="131"/>
      <c r="AZ76" s="131"/>
      <c r="BA76" s="131"/>
      <c r="BB76" s="131"/>
      <c r="BC76" s="131"/>
      <c r="BD76" s="131"/>
      <c r="BE76" s="131"/>
      <c r="BF76" s="131"/>
      <c r="BG76" s="131"/>
      <c r="BH76" s="261">
        <f t="shared" si="1"/>
        <v>330000</v>
      </c>
    </row>
    <row r="77" spans="1:60" s="244" customFormat="1">
      <c r="A77" s="269">
        <v>46091</v>
      </c>
      <c r="B77" s="258" t="s">
        <v>74</v>
      </c>
      <c r="C77" s="257">
        <v>7540</v>
      </c>
      <c r="D77" s="258">
        <v>9658</v>
      </c>
      <c r="E77" s="259">
        <v>100000</v>
      </c>
      <c r="F77" s="259"/>
      <c r="G77" s="259"/>
      <c r="H77" s="259"/>
      <c r="I77" s="259"/>
      <c r="J77" s="259"/>
      <c r="K77" s="259"/>
      <c r="L77" s="259"/>
      <c r="M77" s="259"/>
      <c r="N77" s="259"/>
      <c r="O77" s="259"/>
      <c r="P77" s="259"/>
      <c r="Q77" s="259"/>
      <c r="R77" s="259"/>
      <c r="S77" s="259"/>
      <c r="T77" s="259"/>
      <c r="U77" s="259"/>
      <c r="V77" s="259"/>
      <c r="W77" s="259"/>
      <c r="X77" s="259"/>
      <c r="Y77" s="259"/>
      <c r="Z77" s="259"/>
      <c r="AA77" s="259"/>
      <c r="AB77" s="259"/>
      <c r="AC77" s="259"/>
      <c r="AD77" s="259"/>
      <c r="AE77" s="259"/>
      <c r="AF77" s="259"/>
      <c r="AG77" s="259"/>
      <c r="AH77" s="259"/>
      <c r="AI77" s="259"/>
      <c r="AJ77" s="259"/>
      <c r="AK77" s="259"/>
      <c r="AL77" s="259"/>
      <c r="AM77" s="259"/>
      <c r="AN77" s="259"/>
      <c r="AO77" s="259"/>
      <c r="AP77" s="259"/>
      <c r="AQ77" s="259"/>
      <c r="AR77" s="259"/>
      <c r="AS77" s="259"/>
      <c r="AT77" s="259"/>
      <c r="AU77" s="259"/>
      <c r="AV77" s="259"/>
      <c r="AW77" s="259"/>
      <c r="AX77" s="259"/>
      <c r="AY77" s="259">
        <v>100000</v>
      </c>
      <c r="AZ77" s="259"/>
      <c r="BA77" s="259"/>
      <c r="BB77" s="259"/>
      <c r="BC77" s="259"/>
      <c r="BD77" s="259"/>
      <c r="BE77" s="259"/>
      <c r="BF77" s="259"/>
      <c r="BG77" s="259"/>
      <c r="BH77" s="261">
        <f t="shared" si="1"/>
        <v>100000</v>
      </c>
    </row>
    <row r="78" spans="1:60" s="244" customFormat="1">
      <c r="A78" s="269">
        <v>46091</v>
      </c>
      <c r="B78" s="258" t="s">
        <v>74</v>
      </c>
      <c r="C78" s="257">
        <v>7539</v>
      </c>
      <c r="D78" s="258">
        <v>9657</v>
      </c>
      <c r="E78" s="259">
        <v>3337000</v>
      </c>
      <c r="F78" s="259"/>
      <c r="G78" s="259"/>
      <c r="H78" s="259"/>
      <c r="I78" s="259"/>
      <c r="J78" s="259"/>
      <c r="K78" s="259"/>
      <c r="L78" s="259"/>
      <c r="M78" s="259"/>
      <c r="N78" s="259"/>
      <c r="O78" s="259"/>
      <c r="P78" s="259"/>
      <c r="Q78" s="259"/>
      <c r="R78" s="259"/>
      <c r="S78" s="259"/>
      <c r="T78" s="259"/>
      <c r="U78" s="259"/>
      <c r="V78" s="259">
        <v>3337000</v>
      </c>
      <c r="W78" s="259"/>
      <c r="X78" s="259"/>
      <c r="Y78" s="259"/>
      <c r="Z78" s="259"/>
      <c r="AA78" s="259"/>
      <c r="AB78" s="259"/>
      <c r="AC78" s="259"/>
      <c r="AD78" s="259"/>
      <c r="AE78" s="259"/>
      <c r="AF78" s="259"/>
      <c r="AG78" s="259"/>
      <c r="AH78" s="259"/>
      <c r="AI78" s="259"/>
      <c r="AJ78" s="259"/>
      <c r="AK78" s="259"/>
      <c r="AL78" s="259"/>
      <c r="AM78" s="259"/>
      <c r="AN78" s="259"/>
      <c r="AO78" s="259"/>
      <c r="AP78" s="259"/>
      <c r="AQ78" s="259"/>
      <c r="AR78" s="259"/>
      <c r="AS78" s="259"/>
      <c r="AT78" s="259"/>
      <c r="AU78" s="259"/>
      <c r="AV78" s="259"/>
      <c r="AW78" s="259"/>
      <c r="AX78" s="259"/>
      <c r="AY78" s="259"/>
      <c r="AZ78" s="259"/>
      <c r="BA78" s="259"/>
      <c r="BB78" s="259"/>
      <c r="BC78" s="259"/>
      <c r="BD78" s="259"/>
      <c r="BE78" s="259"/>
      <c r="BF78" s="259"/>
      <c r="BG78" s="259"/>
      <c r="BH78" s="261">
        <f t="shared" si="1"/>
        <v>3337000</v>
      </c>
    </row>
    <row r="79" spans="1:60" s="244" customFormat="1">
      <c r="A79" s="269">
        <v>46091</v>
      </c>
      <c r="B79" s="258" t="s">
        <v>94</v>
      </c>
      <c r="C79" s="257">
        <v>7538</v>
      </c>
      <c r="D79" s="258">
        <v>9656</v>
      </c>
      <c r="E79" s="259">
        <v>4200000</v>
      </c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>
        <v>4200000</v>
      </c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V79" s="259"/>
      <c r="AW79" s="259"/>
      <c r="AX79" s="259"/>
      <c r="AY79" s="259"/>
      <c r="AZ79" s="259"/>
      <c r="BA79" s="259"/>
      <c r="BB79" s="259"/>
      <c r="BC79" s="259"/>
      <c r="BD79" s="259"/>
      <c r="BE79" s="259"/>
      <c r="BF79" s="259"/>
      <c r="BG79" s="259"/>
      <c r="BH79" s="261">
        <f t="shared" si="1"/>
        <v>4200000</v>
      </c>
    </row>
    <row r="80" spans="1:60" s="248" customFormat="1">
      <c r="A80" s="287">
        <v>46092</v>
      </c>
      <c r="B80" s="283" t="s">
        <v>206</v>
      </c>
      <c r="C80" s="284">
        <v>7545</v>
      </c>
      <c r="D80" s="283">
        <v>9654</v>
      </c>
      <c r="E80" s="285">
        <v>600000</v>
      </c>
      <c r="F80" s="285"/>
      <c r="G80" s="285"/>
      <c r="H80" s="285"/>
      <c r="I80" s="285"/>
      <c r="J80" s="285"/>
      <c r="K80" s="285">
        <v>600000</v>
      </c>
      <c r="L80" s="285"/>
      <c r="M80" s="285"/>
      <c r="N80" s="285"/>
      <c r="O80" s="285"/>
      <c r="P80" s="285"/>
      <c r="Q80" s="285"/>
      <c r="R80" s="285"/>
      <c r="S80" s="285"/>
      <c r="T80" s="285"/>
      <c r="U80" s="285"/>
      <c r="V80" s="285"/>
      <c r="W80" s="285"/>
      <c r="X80" s="285"/>
      <c r="Y80" s="285"/>
      <c r="Z80" s="285"/>
      <c r="AA80" s="285"/>
      <c r="AB80" s="285"/>
      <c r="AC80" s="285"/>
      <c r="AD80" s="285"/>
      <c r="AE80" s="285"/>
      <c r="AF80" s="285"/>
      <c r="AG80" s="285"/>
      <c r="AH80" s="285"/>
      <c r="AI80" s="285"/>
      <c r="AJ80" s="285"/>
      <c r="AK80" s="285"/>
      <c r="AL80" s="285"/>
      <c r="AM80" s="285"/>
      <c r="AN80" s="285"/>
      <c r="AO80" s="285"/>
      <c r="AP80" s="285"/>
      <c r="AQ80" s="285"/>
      <c r="AR80" s="285"/>
      <c r="AS80" s="285"/>
      <c r="AT80" s="285"/>
      <c r="AU80" s="285"/>
      <c r="AV80" s="285"/>
      <c r="AW80" s="285"/>
      <c r="AX80" s="285"/>
      <c r="AY80" s="285"/>
      <c r="AZ80" s="285"/>
      <c r="BA80" s="285"/>
      <c r="BB80" s="285"/>
      <c r="BC80" s="285"/>
      <c r="BD80" s="285"/>
      <c r="BE80" s="285"/>
      <c r="BF80" s="285"/>
      <c r="BG80" s="285"/>
      <c r="BH80" s="261">
        <f t="shared" si="1"/>
        <v>600000</v>
      </c>
    </row>
    <row r="81" spans="1:60" s="246" customFormat="1">
      <c r="A81" s="288">
        <v>46091</v>
      </c>
      <c r="B81" s="276" t="s">
        <v>207</v>
      </c>
      <c r="C81" s="275">
        <v>7491</v>
      </c>
      <c r="D81" s="276">
        <v>9511</v>
      </c>
      <c r="E81" s="277">
        <v>1200000</v>
      </c>
      <c r="F81" s="277"/>
      <c r="G81" s="277"/>
      <c r="H81" s="277"/>
      <c r="I81" s="277"/>
      <c r="J81" s="277"/>
      <c r="K81" s="277"/>
      <c r="L81" s="277"/>
      <c r="M81" s="277"/>
      <c r="N81" s="277"/>
      <c r="O81" s="277"/>
      <c r="P81" s="277"/>
      <c r="Q81" s="277"/>
      <c r="R81" s="277"/>
      <c r="S81" s="277"/>
      <c r="T81" s="277"/>
      <c r="U81" s="277"/>
      <c r="V81" s="277"/>
      <c r="W81" s="277"/>
      <c r="X81" s="277"/>
      <c r="Y81" s="277"/>
      <c r="Z81" s="277"/>
      <c r="AA81" s="277"/>
      <c r="AB81" s="277"/>
      <c r="AC81" s="277"/>
      <c r="AD81" s="277"/>
      <c r="AE81" s="277"/>
      <c r="AF81" s="277"/>
      <c r="AG81" s="277"/>
      <c r="AH81" s="277"/>
      <c r="AI81" s="277"/>
      <c r="AJ81" s="277"/>
      <c r="AK81" s="277"/>
      <c r="AL81" s="277"/>
      <c r="AM81" s="277"/>
      <c r="AN81" s="277"/>
      <c r="AO81" s="277"/>
      <c r="AP81" s="277"/>
      <c r="AQ81" s="277"/>
      <c r="AR81" s="277"/>
      <c r="AS81" s="277"/>
      <c r="AT81" s="277"/>
      <c r="AU81" s="277"/>
      <c r="AV81" s="277"/>
      <c r="AW81" s="277"/>
      <c r="AX81" s="277"/>
      <c r="AY81" s="277"/>
      <c r="AZ81" s="277">
        <v>1200000</v>
      </c>
      <c r="BA81" s="277"/>
      <c r="BB81" s="277"/>
      <c r="BC81" s="277"/>
      <c r="BD81" s="277"/>
      <c r="BE81" s="277"/>
      <c r="BF81" s="277"/>
      <c r="BG81" s="277"/>
      <c r="BH81" s="261">
        <f t="shared" si="1"/>
        <v>1200000</v>
      </c>
    </row>
    <row r="82" spans="1:60" s="244" customFormat="1">
      <c r="A82" s="269">
        <v>46087</v>
      </c>
      <c r="B82" s="258" t="s">
        <v>94</v>
      </c>
      <c r="C82" s="257">
        <v>7544</v>
      </c>
      <c r="D82" s="258">
        <v>9655</v>
      </c>
      <c r="E82" s="259">
        <v>8000000</v>
      </c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X82" s="259"/>
      <c r="Y82" s="259"/>
      <c r="Z82" s="259"/>
      <c r="AA82" s="259"/>
      <c r="AB82" s="259"/>
      <c r="AC82" s="259"/>
      <c r="AD82" s="259"/>
      <c r="AE82" s="259"/>
      <c r="AF82" s="259"/>
      <c r="AG82" s="259"/>
      <c r="AH82" s="259"/>
      <c r="AI82" s="259"/>
      <c r="AJ82" s="259"/>
      <c r="AK82" s="259">
        <v>8000000</v>
      </c>
      <c r="AL82" s="259"/>
      <c r="AM82" s="259"/>
      <c r="AN82" s="259"/>
      <c r="AO82" s="259"/>
      <c r="AP82" s="259"/>
      <c r="AQ82" s="259"/>
      <c r="AR82" s="259"/>
      <c r="AS82" s="259"/>
      <c r="AT82" s="259"/>
      <c r="AU82" s="259"/>
      <c r="AV82" s="259"/>
      <c r="AW82" s="259"/>
      <c r="AX82" s="259"/>
      <c r="AY82" s="259"/>
      <c r="AZ82" s="259"/>
      <c r="BA82" s="259"/>
      <c r="BB82" s="259"/>
      <c r="BC82" s="259"/>
      <c r="BD82" s="259"/>
      <c r="BE82" s="259"/>
      <c r="BF82" s="259"/>
      <c r="BG82" s="259"/>
      <c r="BH82" s="261">
        <f t="shared" si="1"/>
        <v>8000000</v>
      </c>
    </row>
    <row r="83" spans="1:60" s="248" customFormat="1">
      <c r="A83" s="287">
        <v>46092</v>
      </c>
      <c r="B83" s="283" t="s">
        <v>169</v>
      </c>
      <c r="C83" s="284">
        <v>7347</v>
      </c>
      <c r="D83" s="283"/>
      <c r="E83" s="285">
        <v>61100000</v>
      </c>
      <c r="F83" s="285"/>
      <c r="G83" s="285"/>
      <c r="H83" s="285"/>
      <c r="I83" s="285"/>
      <c r="J83" s="285"/>
      <c r="K83" s="285"/>
      <c r="L83" s="285"/>
      <c r="M83" s="285"/>
      <c r="N83" s="285"/>
      <c r="O83" s="285"/>
      <c r="P83" s="285"/>
      <c r="Q83" s="285"/>
      <c r="R83" s="285"/>
      <c r="S83" s="285"/>
      <c r="T83" s="285"/>
      <c r="U83" s="285"/>
      <c r="V83" s="285"/>
      <c r="W83" s="285"/>
      <c r="X83" s="285"/>
      <c r="Y83" s="285"/>
      <c r="Z83" s="285"/>
      <c r="AA83" s="285"/>
      <c r="AB83" s="285"/>
      <c r="AC83" s="285"/>
      <c r="AD83" s="285"/>
      <c r="AE83" s="285"/>
      <c r="AF83" s="285"/>
      <c r="AG83" s="285"/>
      <c r="AH83" s="285"/>
      <c r="AI83" s="285"/>
      <c r="AJ83" s="285"/>
      <c r="AK83" s="285"/>
      <c r="AL83" s="285"/>
      <c r="AM83" s="285"/>
      <c r="AN83" s="285"/>
      <c r="AO83" s="285"/>
      <c r="AP83" s="285"/>
      <c r="AQ83" s="285"/>
      <c r="AR83" s="285"/>
      <c r="AS83" s="285"/>
      <c r="AT83" s="285"/>
      <c r="AU83" s="285"/>
      <c r="AV83" s="285"/>
      <c r="AW83" s="285"/>
      <c r="AX83" s="285"/>
      <c r="AY83" s="285"/>
      <c r="AZ83" s="285"/>
      <c r="BA83" s="285"/>
      <c r="BB83" s="285"/>
      <c r="BC83" s="285"/>
      <c r="BD83" s="285"/>
      <c r="BE83" s="285"/>
      <c r="BF83" s="285"/>
      <c r="BG83" s="285">
        <v>61100000</v>
      </c>
      <c r="BH83" s="261">
        <f t="shared" si="1"/>
        <v>61100000</v>
      </c>
    </row>
    <row r="84" spans="1:60" s="248" customFormat="1" ht="30">
      <c r="A84" s="287">
        <v>46092</v>
      </c>
      <c r="B84" s="289" t="s">
        <v>174</v>
      </c>
      <c r="C84" s="284">
        <v>7532</v>
      </c>
      <c r="D84" s="283"/>
      <c r="E84" s="285">
        <v>48880000</v>
      </c>
      <c r="F84" s="285"/>
      <c r="G84" s="285"/>
      <c r="H84" s="285"/>
      <c r="I84" s="285"/>
      <c r="J84" s="285"/>
      <c r="K84" s="285"/>
      <c r="L84" s="285"/>
      <c r="M84" s="285"/>
      <c r="N84" s="285">
        <v>48880000</v>
      </c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A84" s="285"/>
      <c r="AB84" s="285"/>
      <c r="AC84" s="285"/>
      <c r="AD84" s="285"/>
      <c r="AE84" s="285"/>
      <c r="AF84" s="285"/>
      <c r="AG84" s="285"/>
      <c r="AH84" s="285"/>
      <c r="AI84" s="285"/>
      <c r="AJ84" s="285"/>
      <c r="AK84" s="285"/>
      <c r="AL84" s="285"/>
      <c r="AM84" s="285"/>
      <c r="AN84" s="285"/>
      <c r="AO84" s="285"/>
      <c r="AP84" s="285"/>
      <c r="AQ84" s="285"/>
      <c r="AR84" s="285"/>
      <c r="AS84" s="285"/>
      <c r="AT84" s="285"/>
      <c r="AU84" s="285"/>
      <c r="AV84" s="285"/>
      <c r="AW84" s="285"/>
      <c r="AX84" s="285"/>
      <c r="AY84" s="285"/>
      <c r="AZ84" s="285"/>
      <c r="BA84" s="285"/>
      <c r="BB84" s="285"/>
      <c r="BC84" s="285"/>
      <c r="BD84" s="285"/>
      <c r="BE84" s="285"/>
      <c r="BF84" s="285"/>
      <c r="BG84" s="285"/>
      <c r="BH84" s="261">
        <f t="shared" si="1"/>
        <v>48880000</v>
      </c>
    </row>
    <row r="85" spans="1:60" s="248" customFormat="1">
      <c r="A85" s="287">
        <v>46092</v>
      </c>
      <c r="B85" s="283" t="s">
        <v>169</v>
      </c>
      <c r="C85" s="284">
        <v>7344</v>
      </c>
      <c r="D85" s="283"/>
      <c r="E85" s="285">
        <v>85211000</v>
      </c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  <c r="AA85" s="285"/>
      <c r="AB85" s="285"/>
      <c r="AC85" s="285"/>
      <c r="AD85" s="285"/>
      <c r="AE85" s="285"/>
      <c r="AF85" s="285"/>
      <c r="AG85" s="285"/>
      <c r="AH85" s="285"/>
      <c r="AI85" s="285"/>
      <c r="AJ85" s="285"/>
      <c r="AK85" s="285"/>
      <c r="AL85" s="285"/>
      <c r="AM85" s="285"/>
      <c r="AN85" s="285"/>
      <c r="AO85" s="285"/>
      <c r="AP85" s="285"/>
      <c r="AQ85" s="285"/>
      <c r="AR85" s="285"/>
      <c r="AS85" s="285"/>
      <c r="AT85" s="285"/>
      <c r="AU85" s="285"/>
      <c r="AV85" s="285"/>
      <c r="AW85" s="285"/>
      <c r="AX85" s="285"/>
      <c r="AY85" s="285"/>
      <c r="AZ85" s="285"/>
      <c r="BA85" s="285"/>
      <c r="BB85" s="285"/>
      <c r="BC85" s="285"/>
      <c r="BD85" s="285"/>
      <c r="BE85" s="285"/>
      <c r="BF85" s="285"/>
      <c r="BG85" s="285">
        <v>85211000</v>
      </c>
      <c r="BH85" s="261">
        <f t="shared" si="1"/>
        <v>85211000</v>
      </c>
    </row>
    <row r="86" spans="1:60" s="248" customFormat="1">
      <c r="A86" s="287">
        <v>46092</v>
      </c>
      <c r="B86" s="283" t="s">
        <v>208</v>
      </c>
      <c r="C86" s="284">
        <v>7402</v>
      </c>
      <c r="D86" s="283">
        <v>11444</v>
      </c>
      <c r="E86" s="285">
        <v>1600000</v>
      </c>
      <c r="F86" s="285"/>
      <c r="G86" s="285"/>
      <c r="H86" s="285"/>
      <c r="I86" s="285"/>
      <c r="J86" s="285"/>
      <c r="K86" s="285"/>
      <c r="L86" s="285"/>
      <c r="M86" s="285"/>
      <c r="N86" s="285"/>
      <c r="O86" s="285"/>
      <c r="P86" s="285"/>
      <c r="Q86" s="285"/>
      <c r="R86" s="285"/>
      <c r="S86" s="285"/>
      <c r="T86" s="285"/>
      <c r="U86" s="285"/>
      <c r="V86" s="285"/>
      <c r="W86" s="285"/>
      <c r="X86" s="285"/>
      <c r="Y86" s="285"/>
      <c r="Z86" s="285"/>
      <c r="AA86" s="285"/>
      <c r="AB86" s="285"/>
      <c r="AC86" s="285"/>
      <c r="AD86" s="285"/>
      <c r="AE86" s="285"/>
      <c r="AF86" s="285"/>
      <c r="AG86" s="285"/>
      <c r="AH86" s="285"/>
      <c r="AI86" s="285"/>
      <c r="AJ86" s="285"/>
      <c r="AK86" s="285"/>
      <c r="AL86" s="285"/>
      <c r="AM86" s="285"/>
      <c r="AN86" s="285"/>
      <c r="AO86" s="285"/>
      <c r="AP86" s="285"/>
      <c r="AQ86" s="285"/>
      <c r="AR86" s="285"/>
      <c r="AS86" s="285"/>
      <c r="AT86" s="285"/>
      <c r="AU86" s="285">
        <v>1600000</v>
      </c>
      <c r="AV86" s="285"/>
      <c r="AW86" s="285"/>
      <c r="AX86" s="285"/>
      <c r="AY86" s="285"/>
      <c r="AZ86" s="285"/>
      <c r="BA86" s="285"/>
      <c r="BB86" s="285"/>
      <c r="BC86" s="285"/>
      <c r="BD86" s="285"/>
      <c r="BE86" s="285"/>
      <c r="BF86" s="285"/>
      <c r="BG86" s="285"/>
      <c r="BH86" s="261">
        <f t="shared" si="1"/>
        <v>1600000</v>
      </c>
    </row>
    <row r="87" spans="1:60" s="248" customFormat="1">
      <c r="A87" s="287">
        <v>46092</v>
      </c>
      <c r="B87" s="283" t="s">
        <v>182</v>
      </c>
      <c r="C87" s="284">
        <v>7535</v>
      </c>
      <c r="D87" s="283"/>
      <c r="E87" s="285">
        <v>23500000</v>
      </c>
      <c r="F87" s="285"/>
      <c r="G87" s="285"/>
      <c r="H87" s="285"/>
      <c r="I87" s="285"/>
      <c r="J87" s="285"/>
      <c r="K87" s="285"/>
      <c r="L87" s="285"/>
      <c r="M87" s="285"/>
      <c r="N87" s="285">
        <v>23500000</v>
      </c>
      <c r="O87" s="285"/>
      <c r="P87" s="285"/>
      <c r="Q87" s="285"/>
      <c r="R87" s="285"/>
      <c r="S87" s="285"/>
      <c r="T87" s="285"/>
      <c r="U87" s="285"/>
      <c r="V87" s="285"/>
      <c r="W87" s="285"/>
      <c r="X87" s="285"/>
      <c r="Y87" s="285"/>
      <c r="Z87" s="285"/>
      <c r="AA87" s="285"/>
      <c r="AB87" s="285"/>
      <c r="AC87" s="285"/>
      <c r="AD87" s="285"/>
      <c r="AE87" s="285"/>
      <c r="AF87" s="285"/>
      <c r="AG87" s="285"/>
      <c r="AH87" s="285"/>
      <c r="AI87" s="285"/>
      <c r="AJ87" s="285"/>
      <c r="AK87" s="285"/>
      <c r="AL87" s="285"/>
      <c r="AM87" s="285"/>
      <c r="AN87" s="285"/>
      <c r="AO87" s="285"/>
      <c r="AP87" s="285"/>
      <c r="AQ87" s="285"/>
      <c r="AR87" s="285"/>
      <c r="AS87" s="285"/>
      <c r="AT87" s="285"/>
      <c r="AU87" s="285"/>
      <c r="AV87" s="285"/>
      <c r="AW87" s="285"/>
      <c r="AX87" s="285"/>
      <c r="AY87" s="285"/>
      <c r="AZ87" s="285"/>
      <c r="BA87" s="285"/>
      <c r="BB87" s="285"/>
      <c r="BC87" s="285"/>
      <c r="BD87" s="285"/>
      <c r="BE87" s="285"/>
      <c r="BF87" s="285"/>
      <c r="BG87" s="285"/>
      <c r="BH87" s="261">
        <f t="shared" si="1"/>
        <v>23500000</v>
      </c>
    </row>
    <row r="88" spans="1:60" s="244" customFormat="1" ht="30">
      <c r="A88" s="269">
        <v>46091</v>
      </c>
      <c r="B88" s="256" t="s">
        <v>209</v>
      </c>
      <c r="C88" s="257">
        <v>7262</v>
      </c>
      <c r="D88" s="258">
        <v>11110</v>
      </c>
      <c r="E88" s="259">
        <v>15000000</v>
      </c>
      <c r="F88" s="259"/>
      <c r="G88" s="259"/>
      <c r="H88" s="259"/>
      <c r="I88" s="259"/>
      <c r="J88" s="259"/>
      <c r="K88" s="259"/>
      <c r="L88" s="259"/>
      <c r="M88" s="259"/>
      <c r="N88" s="259"/>
      <c r="O88" s="259"/>
      <c r="P88" s="259"/>
      <c r="Q88" s="259"/>
      <c r="R88" s="259"/>
      <c r="S88" s="259"/>
      <c r="T88" s="259"/>
      <c r="U88" s="259"/>
      <c r="V88" s="259"/>
      <c r="W88" s="259"/>
      <c r="X88" s="259"/>
      <c r="Y88" s="259"/>
      <c r="Z88" s="259"/>
      <c r="AA88" s="259"/>
      <c r="AB88" s="259"/>
      <c r="AC88" s="259"/>
      <c r="AD88" s="259"/>
      <c r="AE88" s="259"/>
      <c r="AF88" s="259"/>
      <c r="AG88" s="259"/>
      <c r="AH88" s="259"/>
      <c r="AI88" s="259"/>
      <c r="AJ88" s="259"/>
      <c r="AK88" s="259"/>
      <c r="AL88" s="259"/>
      <c r="AM88" s="259"/>
      <c r="AN88" s="259"/>
      <c r="AO88" s="259"/>
      <c r="AP88" s="259"/>
      <c r="AQ88" s="259"/>
      <c r="AR88" s="259"/>
      <c r="AS88" s="259"/>
      <c r="AT88" s="259"/>
      <c r="AU88" s="259"/>
      <c r="AV88" s="259"/>
      <c r="AW88" s="259"/>
      <c r="AX88" s="259"/>
      <c r="AY88" s="259"/>
      <c r="AZ88" s="259"/>
      <c r="BA88" s="259">
        <v>15000000</v>
      </c>
      <c r="BB88" s="259"/>
      <c r="BC88" s="259"/>
      <c r="BD88" s="259"/>
      <c r="BE88" s="259"/>
      <c r="BF88" s="259"/>
      <c r="BG88" s="259"/>
      <c r="BH88" s="261">
        <f t="shared" si="1"/>
        <v>15000000</v>
      </c>
    </row>
    <row r="89" spans="1:60" s="247" customFormat="1">
      <c r="A89" s="290">
        <v>46091</v>
      </c>
      <c r="B89" s="291" t="s">
        <v>168</v>
      </c>
      <c r="C89" s="280" t="s">
        <v>197</v>
      </c>
      <c r="D89" s="279"/>
      <c r="E89" s="281">
        <v>59596000</v>
      </c>
      <c r="F89" s="281"/>
      <c r="G89" s="281"/>
      <c r="H89" s="281"/>
      <c r="I89" s="281"/>
      <c r="J89" s="281"/>
      <c r="K89" s="281"/>
      <c r="L89" s="281"/>
      <c r="M89" s="281"/>
      <c r="N89" s="281"/>
      <c r="O89" s="281"/>
      <c r="P89" s="281"/>
      <c r="Q89" s="281"/>
      <c r="R89" s="281"/>
      <c r="S89" s="281"/>
      <c r="T89" s="281"/>
      <c r="U89" s="281"/>
      <c r="V89" s="281"/>
      <c r="W89" s="281"/>
      <c r="X89" s="281"/>
      <c r="Y89" s="281"/>
      <c r="Z89" s="281"/>
      <c r="AA89" s="281"/>
      <c r="AB89" s="281"/>
      <c r="AC89" s="281"/>
      <c r="AD89" s="281"/>
      <c r="AE89" s="281"/>
      <c r="AF89" s="281"/>
      <c r="AG89" s="281"/>
      <c r="AH89" s="281"/>
      <c r="AI89" s="281"/>
      <c r="AJ89" s="281"/>
      <c r="AK89" s="281"/>
      <c r="AL89" s="281"/>
      <c r="AM89" s="281"/>
      <c r="AN89" s="281"/>
      <c r="AO89" s="281"/>
      <c r="AP89" s="281"/>
      <c r="AQ89" s="281"/>
      <c r="AR89" s="281"/>
      <c r="AS89" s="281"/>
      <c r="AT89" s="281"/>
      <c r="AU89" s="281"/>
      <c r="AV89" s="281"/>
      <c r="AW89" s="281"/>
      <c r="AX89" s="281"/>
      <c r="AY89" s="281"/>
      <c r="AZ89" s="281"/>
      <c r="BA89" s="281"/>
      <c r="BB89" s="281"/>
      <c r="BC89" s="281"/>
      <c r="BD89" s="281"/>
      <c r="BE89" s="281"/>
      <c r="BF89" s="281">
        <v>63400000</v>
      </c>
      <c r="BG89" s="281"/>
      <c r="BH89" s="261">
        <f t="shared" si="1"/>
        <v>63400000</v>
      </c>
    </row>
    <row r="90" spans="1:60" s="247" customFormat="1">
      <c r="A90" s="290" t="s">
        <v>210</v>
      </c>
      <c r="B90" s="291" t="s">
        <v>211</v>
      </c>
      <c r="C90" s="280">
        <v>7534</v>
      </c>
      <c r="D90" s="279"/>
      <c r="E90" s="281">
        <v>49820000</v>
      </c>
      <c r="F90" s="281"/>
      <c r="G90" s="281"/>
      <c r="H90" s="281"/>
      <c r="I90" s="281"/>
      <c r="J90" s="281"/>
      <c r="K90" s="281"/>
      <c r="L90" s="281"/>
      <c r="M90" s="281"/>
      <c r="N90" s="281"/>
      <c r="O90" s="281">
        <v>49820000</v>
      </c>
      <c r="P90" s="281"/>
      <c r="Q90" s="281"/>
      <c r="R90" s="281"/>
      <c r="S90" s="281"/>
      <c r="T90" s="281"/>
      <c r="U90" s="281"/>
      <c r="V90" s="281"/>
      <c r="W90" s="281"/>
      <c r="X90" s="281"/>
      <c r="Y90" s="281"/>
      <c r="Z90" s="281"/>
      <c r="AA90" s="281"/>
      <c r="AB90" s="281"/>
      <c r="AC90" s="281"/>
      <c r="AD90" s="281"/>
      <c r="AE90" s="281"/>
      <c r="AF90" s="281"/>
      <c r="AG90" s="281"/>
      <c r="AH90" s="281"/>
      <c r="AI90" s="281"/>
      <c r="AJ90" s="281"/>
      <c r="AK90" s="281"/>
      <c r="AL90" s="281"/>
      <c r="AM90" s="281"/>
      <c r="AN90" s="281"/>
      <c r="AO90" s="281"/>
      <c r="AP90" s="281"/>
      <c r="AQ90" s="281"/>
      <c r="AR90" s="281"/>
      <c r="AS90" s="281"/>
      <c r="AT90" s="281"/>
      <c r="AU90" s="281"/>
      <c r="AV90" s="281"/>
      <c r="AW90" s="281"/>
      <c r="AX90" s="281"/>
      <c r="AY90" s="281"/>
      <c r="AZ90" s="281"/>
      <c r="BA90" s="281"/>
      <c r="BB90" s="281"/>
      <c r="BC90" s="281"/>
      <c r="BD90" s="281"/>
      <c r="BE90" s="281"/>
      <c r="BF90" s="281"/>
      <c r="BG90" s="281"/>
      <c r="BH90" s="261">
        <f t="shared" si="1"/>
        <v>49820000</v>
      </c>
    </row>
    <row r="91" spans="1:60" s="246" customFormat="1" ht="30">
      <c r="A91" s="288">
        <v>46100</v>
      </c>
      <c r="B91" s="274" t="s">
        <v>212</v>
      </c>
      <c r="C91" s="275">
        <v>7431</v>
      </c>
      <c r="D91" s="276">
        <v>11486</v>
      </c>
      <c r="E91" s="277">
        <v>142384</v>
      </c>
      <c r="F91" s="277"/>
      <c r="G91" s="277"/>
      <c r="H91" s="277"/>
      <c r="I91" s="277"/>
      <c r="J91" s="277"/>
      <c r="K91" s="277"/>
      <c r="L91" s="277"/>
      <c r="M91" s="277"/>
      <c r="N91" s="277"/>
      <c r="O91" s="277"/>
      <c r="P91" s="277"/>
      <c r="Q91" s="277"/>
      <c r="R91" s="277"/>
      <c r="S91" s="277"/>
      <c r="T91" s="277"/>
      <c r="U91" s="277"/>
      <c r="V91" s="277"/>
      <c r="W91" s="277"/>
      <c r="X91" s="277"/>
      <c r="Y91" s="277"/>
      <c r="Z91" s="277"/>
      <c r="AA91" s="277"/>
      <c r="AB91" s="277"/>
      <c r="AC91" s="277"/>
      <c r="AD91" s="277"/>
      <c r="AE91" s="277"/>
      <c r="AF91" s="277"/>
      <c r="AG91" s="277"/>
      <c r="AH91" s="277"/>
      <c r="AI91" s="277"/>
      <c r="AJ91" s="277"/>
      <c r="AK91" s="277"/>
      <c r="AL91" s="277"/>
      <c r="AM91" s="277"/>
      <c r="AN91" s="277"/>
      <c r="AO91" s="277"/>
      <c r="AP91" s="277"/>
      <c r="AQ91" s="277"/>
      <c r="AR91" s="277"/>
      <c r="AS91" s="277"/>
      <c r="AT91" s="277"/>
      <c r="AU91" s="277"/>
      <c r="AV91" s="277"/>
      <c r="AW91" s="277"/>
      <c r="AX91" s="277"/>
      <c r="AY91" s="277"/>
      <c r="AZ91" s="277"/>
      <c r="BA91" s="277"/>
      <c r="BB91" s="277">
        <v>142384</v>
      </c>
      <c r="BC91" s="277"/>
      <c r="BD91" s="277"/>
      <c r="BE91" s="277"/>
      <c r="BF91" s="277"/>
      <c r="BG91" s="277"/>
      <c r="BH91" s="261">
        <f t="shared" si="1"/>
        <v>142384</v>
      </c>
    </row>
    <row r="92" spans="1:60">
      <c r="A92" s="286">
        <v>46094</v>
      </c>
      <c r="B92" s="69" t="s">
        <v>126</v>
      </c>
      <c r="C92" s="272">
        <v>7408</v>
      </c>
      <c r="D92" s="69">
        <v>11465</v>
      </c>
      <c r="E92" s="131">
        <v>2970000</v>
      </c>
      <c r="F92" s="131">
        <v>2970000</v>
      </c>
      <c r="G92" s="131"/>
      <c r="H92" s="131"/>
      <c r="I92" s="131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  <c r="AA92" s="131"/>
      <c r="AB92" s="131"/>
      <c r="AC92" s="131"/>
      <c r="AD92" s="131"/>
      <c r="AE92" s="131"/>
      <c r="AF92" s="131"/>
      <c r="AG92" s="131"/>
      <c r="AH92" s="131"/>
      <c r="AI92" s="131"/>
      <c r="AJ92" s="131"/>
      <c r="AK92" s="131"/>
      <c r="AL92" s="131"/>
      <c r="AM92" s="131"/>
      <c r="AN92" s="131"/>
      <c r="AO92" s="131"/>
      <c r="AP92" s="131"/>
      <c r="AQ92" s="131"/>
      <c r="AR92" s="131"/>
      <c r="AS92" s="131"/>
      <c r="AT92" s="131"/>
      <c r="AU92" s="131"/>
      <c r="AV92" s="131"/>
      <c r="AW92" s="131"/>
      <c r="AX92" s="131"/>
      <c r="AY92" s="131"/>
      <c r="AZ92" s="131"/>
      <c r="BA92" s="131"/>
      <c r="BB92" s="131"/>
      <c r="BC92" s="131"/>
      <c r="BD92" s="131"/>
      <c r="BE92" s="131"/>
      <c r="BF92" s="131"/>
      <c r="BG92" s="131"/>
      <c r="BH92" s="261">
        <f t="shared" si="1"/>
        <v>2970000</v>
      </c>
    </row>
    <row r="93" spans="1:60" s="246" customFormat="1">
      <c r="A93" s="288">
        <v>46094</v>
      </c>
      <c r="B93" s="276" t="s">
        <v>126</v>
      </c>
      <c r="C93" s="275">
        <v>7525</v>
      </c>
      <c r="D93" s="276">
        <v>9639</v>
      </c>
      <c r="E93" s="277">
        <v>8521620</v>
      </c>
      <c r="F93" s="277">
        <v>8521620</v>
      </c>
      <c r="G93" s="277"/>
      <c r="H93" s="277"/>
      <c r="I93" s="277"/>
      <c r="J93" s="277"/>
      <c r="K93" s="277"/>
      <c r="L93" s="277"/>
      <c r="M93" s="277"/>
      <c r="N93" s="277"/>
      <c r="O93" s="277"/>
      <c r="P93" s="277"/>
      <c r="Q93" s="277"/>
      <c r="R93" s="277"/>
      <c r="S93" s="277"/>
      <c r="T93" s="277"/>
      <c r="U93" s="277"/>
      <c r="V93" s="277"/>
      <c r="W93" s="277"/>
      <c r="X93" s="277"/>
      <c r="Y93" s="277"/>
      <c r="Z93" s="277"/>
      <c r="AA93" s="277"/>
      <c r="AB93" s="277"/>
      <c r="AC93" s="277"/>
      <c r="AD93" s="277"/>
      <c r="AE93" s="277"/>
      <c r="AF93" s="277"/>
      <c r="AG93" s="277"/>
      <c r="AH93" s="277"/>
      <c r="AI93" s="277"/>
      <c r="AJ93" s="277"/>
      <c r="AK93" s="277"/>
      <c r="AL93" s="277"/>
      <c r="AM93" s="277"/>
      <c r="AN93" s="277"/>
      <c r="AO93" s="277"/>
      <c r="AP93" s="277"/>
      <c r="AQ93" s="277"/>
      <c r="AR93" s="277"/>
      <c r="AS93" s="277"/>
      <c r="AT93" s="277"/>
      <c r="AU93" s="277"/>
      <c r="AV93" s="277"/>
      <c r="AW93" s="277"/>
      <c r="AX93" s="277"/>
      <c r="AY93" s="277"/>
      <c r="AZ93" s="277"/>
      <c r="BA93" s="277"/>
      <c r="BB93" s="277"/>
      <c r="BC93" s="277"/>
      <c r="BD93" s="277"/>
      <c r="BE93" s="277"/>
      <c r="BF93" s="277"/>
      <c r="BG93" s="277"/>
      <c r="BH93" s="261">
        <f t="shared" si="1"/>
        <v>8521620</v>
      </c>
    </row>
    <row r="94" spans="1:60" s="246" customFormat="1">
      <c r="A94" s="288">
        <v>46094</v>
      </c>
      <c r="B94" s="276" t="s">
        <v>126</v>
      </c>
      <c r="C94" s="275">
        <v>7519</v>
      </c>
      <c r="D94" s="276">
        <v>9529</v>
      </c>
      <c r="E94" s="277">
        <v>28460160</v>
      </c>
      <c r="F94" s="277">
        <v>28460160</v>
      </c>
      <c r="G94" s="277"/>
      <c r="H94" s="277"/>
      <c r="I94" s="277"/>
      <c r="J94" s="277"/>
      <c r="K94" s="277"/>
      <c r="L94" s="277"/>
      <c r="M94" s="277"/>
      <c r="N94" s="277"/>
      <c r="O94" s="277"/>
      <c r="P94" s="277"/>
      <c r="Q94" s="277"/>
      <c r="R94" s="277"/>
      <c r="S94" s="277"/>
      <c r="T94" s="277"/>
      <c r="U94" s="277"/>
      <c r="V94" s="277"/>
      <c r="W94" s="277"/>
      <c r="X94" s="277"/>
      <c r="Y94" s="277"/>
      <c r="Z94" s="277"/>
      <c r="AA94" s="277"/>
      <c r="AB94" s="277"/>
      <c r="AC94" s="277"/>
      <c r="AD94" s="277"/>
      <c r="AE94" s="277"/>
      <c r="AF94" s="277"/>
      <c r="AG94" s="277"/>
      <c r="AH94" s="277"/>
      <c r="AI94" s="277"/>
      <c r="AJ94" s="277"/>
      <c r="AK94" s="277"/>
      <c r="AL94" s="277"/>
      <c r="AM94" s="277"/>
      <c r="AN94" s="277"/>
      <c r="AO94" s="277"/>
      <c r="AP94" s="277"/>
      <c r="AQ94" s="277"/>
      <c r="AR94" s="277"/>
      <c r="AS94" s="277"/>
      <c r="AT94" s="277"/>
      <c r="AU94" s="277"/>
      <c r="AV94" s="277"/>
      <c r="AW94" s="277"/>
      <c r="AX94" s="277"/>
      <c r="AY94" s="277"/>
      <c r="AZ94" s="277"/>
      <c r="BA94" s="277"/>
      <c r="BB94" s="277"/>
      <c r="BC94" s="277"/>
      <c r="BD94" s="277"/>
      <c r="BE94" s="277"/>
      <c r="BF94" s="277"/>
      <c r="BG94" s="277"/>
      <c r="BH94" s="261">
        <f t="shared" si="1"/>
        <v>28460160</v>
      </c>
    </row>
    <row r="95" spans="1:60">
      <c r="A95" s="286">
        <v>46094</v>
      </c>
      <c r="B95" s="69" t="s">
        <v>126</v>
      </c>
      <c r="C95" s="272">
        <v>7543</v>
      </c>
      <c r="D95" s="69">
        <v>9643</v>
      </c>
      <c r="E95" s="131">
        <v>18976500</v>
      </c>
      <c r="F95" s="131">
        <v>18976500</v>
      </c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  <c r="AA95" s="131"/>
      <c r="AB95" s="131"/>
      <c r="AC95" s="131"/>
      <c r="AD95" s="131"/>
      <c r="AE95" s="131"/>
      <c r="AF95" s="131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  <c r="AT95" s="131"/>
      <c r="AU95" s="131"/>
      <c r="AV95" s="131"/>
      <c r="AW95" s="131"/>
      <c r="AX95" s="131"/>
      <c r="AY95" s="131"/>
      <c r="AZ95" s="131"/>
      <c r="BA95" s="131"/>
      <c r="BB95" s="131"/>
      <c r="BC95" s="131"/>
      <c r="BD95" s="131"/>
      <c r="BE95" s="131"/>
      <c r="BF95" s="131"/>
      <c r="BG95" s="131"/>
      <c r="BH95" s="261">
        <f t="shared" si="1"/>
        <v>18976500</v>
      </c>
    </row>
    <row r="96" spans="1:60" s="246" customFormat="1" ht="60">
      <c r="A96" s="288">
        <v>46094</v>
      </c>
      <c r="B96" s="276" t="s">
        <v>126</v>
      </c>
      <c r="C96" s="275">
        <v>7482</v>
      </c>
      <c r="D96" s="274" t="s">
        <v>213</v>
      </c>
      <c r="E96" s="277">
        <v>16646390</v>
      </c>
      <c r="F96" s="277">
        <v>16646390</v>
      </c>
      <c r="G96" s="277"/>
      <c r="H96" s="277"/>
      <c r="I96" s="277"/>
      <c r="J96" s="277"/>
      <c r="K96" s="277"/>
      <c r="L96" s="277"/>
      <c r="M96" s="277"/>
      <c r="N96" s="277"/>
      <c r="O96" s="277"/>
      <c r="P96" s="277"/>
      <c r="Q96" s="277"/>
      <c r="R96" s="277"/>
      <c r="S96" s="277"/>
      <c r="T96" s="277"/>
      <c r="U96" s="277"/>
      <c r="V96" s="277"/>
      <c r="W96" s="277"/>
      <c r="X96" s="277"/>
      <c r="Y96" s="277"/>
      <c r="Z96" s="277"/>
      <c r="AA96" s="277"/>
      <c r="AB96" s="277"/>
      <c r="AC96" s="277"/>
      <c r="AD96" s="277"/>
      <c r="AE96" s="277"/>
      <c r="AF96" s="277"/>
      <c r="AG96" s="277"/>
      <c r="AH96" s="277"/>
      <c r="AI96" s="277"/>
      <c r="AJ96" s="277"/>
      <c r="AK96" s="277"/>
      <c r="AL96" s="277"/>
      <c r="AM96" s="277"/>
      <c r="AN96" s="277"/>
      <c r="AO96" s="277"/>
      <c r="AP96" s="277"/>
      <c r="AQ96" s="277"/>
      <c r="AR96" s="277"/>
      <c r="AS96" s="277"/>
      <c r="AT96" s="277"/>
      <c r="AU96" s="277"/>
      <c r="AV96" s="277"/>
      <c r="AW96" s="277"/>
      <c r="AX96" s="277"/>
      <c r="AY96" s="277"/>
      <c r="AZ96" s="277"/>
      <c r="BA96" s="277"/>
      <c r="BB96" s="277"/>
      <c r="BC96" s="277"/>
      <c r="BD96" s="277"/>
      <c r="BE96" s="277"/>
      <c r="BF96" s="277"/>
      <c r="BG96" s="277"/>
      <c r="BH96" s="261">
        <f t="shared" si="1"/>
        <v>16646390</v>
      </c>
    </row>
    <row r="97" spans="1:60" s="246" customFormat="1">
      <c r="A97" s="288">
        <v>46094</v>
      </c>
      <c r="B97" s="276" t="s">
        <v>82</v>
      </c>
      <c r="C97" s="275">
        <v>7549</v>
      </c>
      <c r="D97" s="274"/>
      <c r="E97" s="277">
        <v>1050000</v>
      </c>
      <c r="F97" s="277"/>
      <c r="G97" s="277"/>
      <c r="H97" s="277"/>
      <c r="I97" s="277"/>
      <c r="J97" s="277"/>
      <c r="K97" s="277"/>
      <c r="L97" s="277"/>
      <c r="M97" s="277"/>
      <c r="N97" s="277"/>
      <c r="O97" s="277"/>
      <c r="P97" s="277"/>
      <c r="Q97" s="277"/>
      <c r="R97" s="277"/>
      <c r="S97" s="277"/>
      <c r="T97" s="277"/>
      <c r="U97" s="277">
        <v>1050000</v>
      </c>
      <c r="V97" s="277"/>
      <c r="W97" s="277"/>
      <c r="X97" s="277"/>
      <c r="Y97" s="277"/>
      <c r="Z97" s="277"/>
      <c r="AA97" s="277"/>
      <c r="AB97" s="277"/>
      <c r="AC97" s="277"/>
      <c r="AD97" s="277"/>
      <c r="AE97" s="277"/>
      <c r="AF97" s="277"/>
      <c r="AG97" s="277"/>
      <c r="AH97" s="277"/>
      <c r="AI97" s="277"/>
      <c r="AJ97" s="277"/>
      <c r="AK97" s="277"/>
      <c r="AL97" s="277"/>
      <c r="AM97" s="277"/>
      <c r="AN97" s="277"/>
      <c r="AO97" s="277"/>
      <c r="AP97" s="277"/>
      <c r="AQ97" s="277"/>
      <c r="AR97" s="277"/>
      <c r="AS97" s="277"/>
      <c r="AT97" s="277"/>
      <c r="AU97" s="277"/>
      <c r="AV97" s="277"/>
      <c r="AW97" s="277"/>
      <c r="AX97" s="277"/>
      <c r="AY97" s="277"/>
      <c r="AZ97" s="277"/>
      <c r="BA97" s="277"/>
      <c r="BB97" s="277"/>
      <c r="BC97" s="277"/>
      <c r="BD97" s="277"/>
      <c r="BE97" s="277"/>
      <c r="BF97" s="277"/>
      <c r="BG97" s="277"/>
      <c r="BH97" s="261">
        <f t="shared" si="1"/>
        <v>1050000</v>
      </c>
    </row>
    <row r="98" spans="1:60" s="246" customFormat="1">
      <c r="A98" s="288">
        <v>46094</v>
      </c>
      <c r="B98" s="276" t="s">
        <v>48</v>
      </c>
      <c r="C98" s="275">
        <v>7548</v>
      </c>
      <c r="D98" s="274"/>
      <c r="E98" s="277">
        <v>4319463</v>
      </c>
      <c r="F98" s="277"/>
      <c r="G98" s="277"/>
      <c r="H98" s="277"/>
      <c r="I98" s="277"/>
      <c r="J98" s="277"/>
      <c r="K98" s="277"/>
      <c r="L98" s="277"/>
      <c r="M98" s="277"/>
      <c r="N98" s="277"/>
      <c r="O98" s="277"/>
      <c r="P98" s="277"/>
      <c r="Q98" s="277"/>
      <c r="R98" s="277"/>
      <c r="S98" s="277"/>
      <c r="T98" s="277"/>
      <c r="U98" s="277"/>
      <c r="V98" s="277"/>
      <c r="W98" s="277"/>
      <c r="X98" s="277"/>
      <c r="Y98" s="277"/>
      <c r="Z98" s="277"/>
      <c r="AA98" s="277"/>
      <c r="AB98" s="277"/>
      <c r="AC98" s="277"/>
      <c r="AD98" s="277"/>
      <c r="AE98" s="277"/>
      <c r="AF98" s="277"/>
      <c r="AG98" s="277"/>
      <c r="AH98" s="277"/>
      <c r="AI98" s="277"/>
      <c r="AJ98" s="277"/>
      <c r="AK98" s="277"/>
      <c r="AL98" s="277"/>
      <c r="AM98" s="277"/>
      <c r="AN98" s="277"/>
      <c r="AO98" s="277"/>
      <c r="AP98" s="277"/>
      <c r="AQ98" s="277"/>
      <c r="AR98" s="277"/>
      <c r="AS98" s="277"/>
      <c r="AT98" s="277"/>
      <c r="AU98" s="277"/>
      <c r="AV98" s="277"/>
      <c r="AW98" s="277">
        <v>4319463</v>
      </c>
      <c r="AX98" s="277"/>
      <c r="AY98" s="277"/>
      <c r="AZ98" s="277"/>
      <c r="BA98" s="277"/>
      <c r="BB98" s="277"/>
      <c r="BC98" s="277"/>
      <c r="BD98" s="277"/>
      <c r="BE98" s="277"/>
      <c r="BF98" s="277"/>
      <c r="BG98" s="277"/>
      <c r="BH98" s="261">
        <f t="shared" si="1"/>
        <v>4319463</v>
      </c>
    </row>
    <row r="99" spans="1:60" s="246" customFormat="1">
      <c r="A99" s="288">
        <v>46108</v>
      </c>
      <c r="B99" s="276" t="s">
        <v>102</v>
      </c>
      <c r="C99" s="275">
        <v>7561</v>
      </c>
      <c r="D99" s="274"/>
      <c r="E99" s="277">
        <v>1250000</v>
      </c>
      <c r="F99" s="277"/>
      <c r="G99" s="277"/>
      <c r="H99" s="277"/>
      <c r="I99" s="277"/>
      <c r="J99" s="277"/>
      <c r="K99" s="277"/>
      <c r="L99" s="277"/>
      <c r="M99" s="277"/>
      <c r="N99" s="277"/>
      <c r="O99" s="277"/>
      <c r="P99" s="277"/>
      <c r="Q99" s="277"/>
      <c r="R99" s="277"/>
      <c r="S99" s="277"/>
      <c r="T99" s="277"/>
      <c r="U99" s="277"/>
      <c r="V99" s="277"/>
      <c r="W99" s="277"/>
      <c r="X99" s="277"/>
      <c r="Y99" s="277"/>
      <c r="Z99" s="277"/>
      <c r="AA99" s="277"/>
      <c r="AB99" s="277"/>
      <c r="AC99" s="277"/>
      <c r="AD99" s="277"/>
      <c r="AE99" s="277">
        <v>1250000</v>
      </c>
      <c r="AF99" s="277"/>
      <c r="AG99" s="277"/>
      <c r="AH99" s="277"/>
      <c r="AI99" s="277"/>
      <c r="AJ99" s="277"/>
      <c r="AK99" s="277"/>
      <c r="AL99" s="277"/>
      <c r="AM99" s="277"/>
      <c r="AN99" s="277"/>
      <c r="AO99" s="277"/>
      <c r="AP99" s="277"/>
      <c r="AQ99" s="277"/>
      <c r="AR99" s="277"/>
      <c r="AS99" s="277"/>
      <c r="AT99" s="277"/>
      <c r="AU99" s="277"/>
      <c r="AV99" s="277"/>
      <c r="AW99" s="277"/>
      <c r="AX99" s="277"/>
      <c r="AY99" s="277"/>
      <c r="AZ99" s="277"/>
      <c r="BA99" s="277"/>
      <c r="BB99" s="277"/>
      <c r="BC99" s="277"/>
      <c r="BD99" s="277"/>
      <c r="BE99" s="277"/>
      <c r="BF99" s="277"/>
      <c r="BG99" s="277"/>
      <c r="BH99" s="261">
        <f t="shared" si="1"/>
        <v>1250000</v>
      </c>
    </row>
    <row r="100" spans="1:60" s="246" customFormat="1" ht="14.1" customHeight="1">
      <c r="A100" s="288">
        <v>46108</v>
      </c>
      <c r="B100" s="276" t="s">
        <v>181</v>
      </c>
      <c r="C100" s="275">
        <v>7555</v>
      </c>
      <c r="D100" s="274"/>
      <c r="E100" s="277">
        <v>2111000</v>
      </c>
      <c r="F100" s="277"/>
      <c r="G100" s="277"/>
      <c r="H100" s="277"/>
      <c r="I100" s="277"/>
      <c r="J100" s="277"/>
      <c r="K100" s="277"/>
      <c r="L100" s="277"/>
      <c r="M100" s="277"/>
      <c r="N100" s="277"/>
      <c r="O100" s="277"/>
      <c r="P100" s="277"/>
      <c r="Q100" s="277"/>
      <c r="R100" s="277"/>
      <c r="S100" s="277"/>
      <c r="T100" s="277"/>
      <c r="U100" s="277"/>
      <c r="V100" s="277"/>
      <c r="W100" s="277"/>
      <c r="X100" s="277"/>
      <c r="Y100" s="277"/>
      <c r="Z100" s="277"/>
      <c r="AA100" s="277"/>
      <c r="AB100" s="277"/>
      <c r="AC100" s="277"/>
      <c r="AD100" s="277"/>
      <c r="AE100" s="277"/>
      <c r="AF100" s="277">
        <v>2111000</v>
      </c>
      <c r="AG100" s="277"/>
      <c r="AH100" s="277"/>
      <c r="AI100" s="277"/>
      <c r="AJ100" s="277"/>
      <c r="AK100" s="277"/>
      <c r="AL100" s="277"/>
      <c r="AM100" s="277"/>
      <c r="AN100" s="277"/>
      <c r="AO100" s="277"/>
      <c r="AP100" s="277"/>
      <c r="AQ100" s="277"/>
      <c r="AR100" s="277"/>
      <c r="AS100" s="277"/>
      <c r="AT100" s="277"/>
      <c r="AU100" s="277"/>
      <c r="AV100" s="277"/>
      <c r="AW100" s="277"/>
      <c r="AX100" s="277"/>
      <c r="AY100" s="277"/>
      <c r="AZ100" s="277"/>
      <c r="BA100" s="277"/>
      <c r="BB100" s="277"/>
      <c r="BC100" s="277"/>
      <c r="BD100" s="277"/>
      <c r="BE100" s="277"/>
      <c r="BF100" s="277"/>
      <c r="BG100" s="277"/>
      <c r="BH100" s="261">
        <f t="shared" si="1"/>
        <v>2111000</v>
      </c>
    </row>
    <row r="101" spans="1:60" s="246" customFormat="1">
      <c r="A101" s="288">
        <v>46108</v>
      </c>
      <c r="B101" s="276" t="s">
        <v>180</v>
      </c>
      <c r="C101" s="275">
        <v>7558</v>
      </c>
      <c r="D101" s="274"/>
      <c r="E101" s="277">
        <v>660000</v>
      </c>
      <c r="F101" s="277"/>
      <c r="G101" s="277"/>
      <c r="H101" s="277"/>
      <c r="I101" s="277"/>
      <c r="J101" s="277"/>
      <c r="K101" s="277"/>
      <c r="L101" s="277"/>
      <c r="M101" s="277"/>
      <c r="N101" s="277"/>
      <c r="O101" s="277"/>
      <c r="P101" s="277"/>
      <c r="Q101" s="277"/>
      <c r="R101" s="277"/>
      <c r="S101" s="277"/>
      <c r="T101" s="277"/>
      <c r="U101" s="277"/>
      <c r="V101" s="277"/>
      <c r="W101" s="277"/>
      <c r="X101" s="277"/>
      <c r="Y101" s="277"/>
      <c r="Z101" s="277"/>
      <c r="AA101" s="277"/>
      <c r="AB101" s="277"/>
      <c r="AC101" s="277"/>
      <c r="AD101" s="277"/>
      <c r="AE101" s="277"/>
      <c r="AF101" s="277"/>
      <c r="AG101" s="277"/>
      <c r="AH101" s="277"/>
      <c r="AI101" s="277"/>
      <c r="AJ101" s="277"/>
      <c r="AK101" s="277"/>
      <c r="AL101" s="277"/>
      <c r="AM101" s="277"/>
      <c r="AN101" s="277"/>
      <c r="AO101" s="292"/>
      <c r="AP101" s="277"/>
      <c r="AQ101" s="277"/>
      <c r="AR101" s="277"/>
      <c r="AS101" s="277"/>
      <c r="AT101" s="277"/>
      <c r="AU101" s="277"/>
      <c r="AV101" s="277">
        <v>660000</v>
      </c>
      <c r="AW101" s="277"/>
      <c r="AX101" s="277"/>
      <c r="AY101" s="277"/>
      <c r="AZ101" s="277"/>
      <c r="BA101" s="277"/>
      <c r="BB101" s="277"/>
      <c r="BC101" s="277"/>
      <c r="BD101" s="277"/>
      <c r="BE101" s="277"/>
      <c r="BF101" s="277"/>
      <c r="BG101" s="277"/>
      <c r="BH101" s="261">
        <f t="shared" si="1"/>
        <v>660000</v>
      </c>
    </row>
    <row r="102" spans="1:60" s="246" customFormat="1">
      <c r="A102" s="288">
        <v>46108</v>
      </c>
      <c r="B102" s="276" t="s">
        <v>179</v>
      </c>
      <c r="C102" s="275">
        <v>7552</v>
      </c>
      <c r="D102" s="274"/>
      <c r="E102" s="277">
        <v>800000</v>
      </c>
      <c r="F102" s="277"/>
      <c r="G102" s="277"/>
      <c r="H102" s="277"/>
      <c r="I102" s="277"/>
      <c r="J102" s="277"/>
      <c r="K102" s="277"/>
      <c r="L102" s="277"/>
      <c r="M102" s="277"/>
      <c r="N102" s="277"/>
      <c r="O102" s="277"/>
      <c r="P102" s="277"/>
      <c r="Q102" s="277"/>
      <c r="R102" s="277"/>
      <c r="S102" s="277"/>
      <c r="T102" s="277"/>
      <c r="U102" s="277"/>
      <c r="V102" s="277"/>
      <c r="W102" s="277"/>
      <c r="X102" s="277"/>
      <c r="Y102" s="277"/>
      <c r="Z102" s="277"/>
      <c r="AA102" s="277"/>
      <c r="AB102" s="277"/>
      <c r="AC102" s="277"/>
      <c r="AD102" s="277"/>
      <c r="AE102" s="277"/>
      <c r="AF102" s="277"/>
      <c r="AG102" s="277"/>
      <c r="AH102" s="277"/>
      <c r="AI102" s="277"/>
      <c r="AJ102" s="277"/>
      <c r="AK102" s="277"/>
      <c r="AL102" s="277"/>
      <c r="AM102" s="277"/>
      <c r="AN102" s="277"/>
      <c r="AO102" s="277">
        <v>800000</v>
      </c>
      <c r="AP102" s="277"/>
      <c r="AQ102" s="277"/>
      <c r="AR102" s="277"/>
      <c r="AS102" s="277"/>
      <c r="AT102" s="277"/>
      <c r="AU102" s="277"/>
      <c r="AV102" s="277"/>
      <c r="AW102" s="277"/>
      <c r="AX102" s="277"/>
      <c r="AY102" s="277"/>
      <c r="AZ102" s="277"/>
      <c r="BA102" s="277"/>
      <c r="BB102" s="277"/>
      <c r="BC102" s="277"/>
      <c r="BD102" s="277"/>
      <c r="BE102" s="277"/>
      <c r="BF102" s="277"/>
      <c r="BG102" s="277"/>
      <c r="BH102" s="261">
        <f t="shared" si="1"/>
        <v>800000</v>
      </c>
    </row>
    <row r="103" spans="1:60" s="246" customFormat="1">
      <c r="A103" s="288">
        <v>46108</v>
      </c>
      <c r="B103" s="276" t="s">
        <v>96</v>
      </c>
      <c r="C103" s="275">
        <v>7557</v>
      </c>
      <c r="D103" s="274"/>
      <c r="E103" s="277">
        <v>400000</v>
      </c>
      <c r="F103" s="277"/>
      <c r="G103" s="277"/>
      <c r="H103" s="277"/>
      <c r="I103" s="277"/>
      <c r="J103" s="277"/>
      <c r="K103" s="277"/>
      <c r="L103" s="277"/>
      <c r="M103" s="277"/>
      <c r="N103" s="277"/>
      <c r="O103" s="277"/>
      <c r="P103" s="277"/>
      <c r="Q103" s="277"/>
      <c r="R103" s="277"/>
      <c r="S103" s="277"/>
      <c r="T103" s="277"/>
      <c r="U103" s="277"/>
      <c r="V103" s="277"/>
      <c r="W103" s="277"/>
      <c r="X103" s="277"/>
      <c r="Y103" s="277"/>
      <c r="Z103" s="277"/>
      <c r="AA103" s="277"/>
      <c r="AB103" s="277"/>
      <c r="AC103" s="277"/>
      <c r="AD103" s="277"/>
      <c r="AE103" s="277"/>
      <c r="AF103" s="277"/>
      <c r="AG103" s="277"/>
      <c r="AH103" s="277"/>
      <c r="AI103" s="277"/>
      <c r="AJ103" s="277"/>
      <c r="AK103" s="277">
        <v>400000</v>
      </c>
      <c r="AL103" s="277"/>
      <c r="AM103" s="277"/>
      <c r="AN103" s="277"/>
      <c r="AO103" s="277"/>
      <c r="AP103" s="277"/>
      <c r="AQ103" s="277"/>
      <c r="AR103" s="277"/>
      <c r="AS103" s="277"/>
      <c r="AT103" s="277"/>
      <c r="AU103" s="277"/>
      <c r="AV103" s="277"/>
      <c r="AW103" s="277"/>
      <c r="AX103" s="277"/>
      <c r="AY103" s="277"/>
      <c r="AZ103" s="277"/>
      <c r="BA103" s="277"/>
      <c r="BB103" s="277"/>
      <c r="BC103" s="277"/>
      <c r="BD103" s="277"/>
      <c r="BE103" s="277"/>
      <c r="BF103" s="277"/>
      <c r="BG103" s="277"/>
      <c r="BH103" s="261">
        <f t="shared" si="1"/>
        <v>400000</v>
      </c>
    </row>
    <row r="104" spans="1:60" s="246" customFormat="1">
      <c r="A104" s="288">
        <v>46108</v>
      </c>
      <c r="B104" s="276" t="s">
        <v>73</v>
      </c>
      <c r="C104" s="275">
        <v>7550</v>
      </c>
      <c r="D104" s="274"/>
      <c r="E104" s="277">
        <v>4750000</v>
      </c>
      <c r="F104" s="277"/>
      <c r="G104" s="277"/>
      <c r="H104" s="277"/>
      <c r="I104" s="277"/>
      <c r="J104" s="277"/>
      <c r="K104" s="277"/>
      <c r="L104" s="277"/>
      <c r="M104" s="277"/>
      <c r="N104" s="277"/>
      <c r="O104" s="277"/>
      <c r="P104" s="277"/>
      <c r="Q104" s="277"/>
      <c r="R104" s="277"/>
      <c r="S104" s="277"/>
      <c r="T104" s="277"/>
      <c r="U104" s="277"/>
      <c r="V104" s="277"/>
      <c r="W104" s="277"/>
      <c r="X104" s="277"/>
      <c r="Y104" s="277"/>
      <c r="Z104" s="277"/>
      <c r="AA104" s="277"/>
      <c r="AB104" s="277"/>
      <c r="AC104" s="277"/>
      <c r="AD104" s="277"/>
      <c r="AE104" s="277"/>
      <c r="AF104" s="277"/>
      <c r="AG104" s="277"/>
      <c r="AH104" s="277"/>
      <c r="AI104" s="277"/>
      <c r="AJ104" s="277"/>
      <c r="AK104" s="277">
        <v>4750000</v>
      </c>
      <c r="AL104" s="277"/>
      <c r="AM104" s="277"/>
      <c r="AN104" s="277"/>
      <c r="AO104" s="277"/>
      <c r="AP104" s="277"/>
      <c r="AQ104" s="277"/>
      <c r="AR104" s="277"/>
      <c r="AS104" s="277"/>
      <c r="AT104" s="277"/>
      <c r="AU104" s="277"/>
      <c r="AV104" s="277"/>
      <c r="AW104" s="277"/>
      <c r="AX104" s="277"/>
      <c r="AY104" s="277"/>
      <c r="AZ104" s="277"/>
      <c r="BA104" s="277"/>
      <c r="BB104" s="277"/>
      <c r="BC104" s="277"/>
      <c r="BD104" s="277"/>
      <c r="BE104" s="277"/>
      <c r="BF104" s="277"/>
      <c r="BG104" s="277"/>
      <c r="BH104" s="261">
        <f t="shared" si="1"/>
        <v>4750000</v>
      </c>
    </row>
    <row r="105" spans="1:60" s="246" customFormat="1">
      <c r="A105" s="288">
        <v>46108</v>
      </c>
      <c r="B105" s="276" t="s">
        <v>25</v>
      </c>
      <c r="C105" s="275">
        <v>7551</v>
      </c>
      <c r="D105" s="274"/>
      <c r="E105" s="277">
        <v>3347850</v>
      </c>
      <c r="F105" s="277"/>
      <c r="G105" s="277"/>
      <c r="H105" s="277"/>
      <c r="I105" s="277">
        <v>3347850</v>
      </c>
      <c r="J105" s="277"/>
      <c r="K105" s="277"/>
      <c r="L105" s="277"/>
      <c r="M105" s="277"/>
      <c r="N105" s="277"/>
      <c r="O105" s="277"/>
      <c r="P105" s="277"/>
      <c r="Q105" s="277"/>
      <c r="R105" s="277"/>
      <c r="S105" s="277"/>
      <c r="T105" s="277"/>
      <c r="U105" s="277"/>
      <c r="V105" s="277"/>
      <c r="W105" s="277"/>
      <c r="X105" s="277"/>
      <c r="Y105" s="277"/>
      <c r="Z105" s="277"/>
      <c r="AA105" s="277"/>
      <c r="AB105" s="277"/>
      <c r="AC105" s="277"/>
      <c r="AD105" s="277"/>
      <c r="AE105" s="277"/>
      <c r="AF105" s="277"/>
      <c r="AG105" s="277"/>
      <c r="AH105" s="277"/>
      <c r="AI105" s="277"/>
      <c r="AJ105" s="277"/>
      <c r="AK105" s="277"/>
      <c r="AL105" s="277"/>
      <c r="AM105" s="277"/>
      <c r="AN105" s="277"/>
      <c r="AO105" s="277"/>
      <c r="AP105" s="277"/>
      <c r="AQ105" s="277"/>
      <c r="AR105" s="277"/>
      <c r="AS105" s="277"/>
      <c r="AT105" s="277"/>
      <c r="AU105" s="277"/>
      <c r="AV105" s="277"/>
      <c r="AW105" s="277"/>
      <c r="AX105" s="277"/>
      <c r="AY105" s="277"/>
      <c r="AZ105" s="277"/>
      <c r="BA105" s="277"/>
      <c r="BB105" s="277"/>
      <c r="BC105" s="277"/>
      <c r="BD105" s="277"/>
      <c r="BE105" s="277"/>
      <c r="BF105" s="277"/>
      <c r="BG105" s="277"/>
      <c r="BH105" s="261">
        <f t="shared" si="1"/>
        <v>3347850</v>
      </c>
    </row>
    <row r="106" spans="1:60" s="246" customFormat="1">
      <c r="A106" s="288">
        <v>46108</v>
      </c>
      <c r="B106" s="276" t="s">
        <v>214</v>
      </c>
      <c r="C106" s="275">
        <v>7559</v>
      </c>
      <c r="D106" s="276"/>
      <c r="E106" s="277">
        <v>2378000</v>
      </c>
      <c r="F106" s="277"/>
      <c r="G106" s="277"/>
      <c r="H106" s="277"/>
      <c r="I106" s="277"/>
      <c r="J106" s="277"/>
      <c r="K106" s="277"/>
      <c r="L106" s="277"/>
      <c r="M106" s="277"/>
      <c r="N106" s="277"/>
      <c r="O106" s="277"/>
      <c r="P106" s="277"/>
      <c r="Q106" s="277"/>
      <c r="R106" s="277"/>
      <c r="S106" s="277"/>
      <c r="T106" s="277"/>
      <c r="U106" s="277"/>
      <c r="V106" s="277"/>
      <c r="W106" s="277"/>
      <c r="X106" s="277"/>
      <c r="Y106" s="277"/>
      <c r="Z106" s="277"/>
      <c r="AA106" s="277"/>
      <c r="AB106" s="277"/>
      <c r="AC106" s="277"/>
      <c r="AD106" s="277"/>
      <c r="AE106" s="277"/>
      <c r="AF106" s="277"/>
      <c r="AG106" s="277"/>
      <c r="AH106" s="277"/>
      <c r="AI106" s="277"/>
      <c r="AJ106" s="277"/>
      <c r="AK106" s="277"/>
      <c r="AL106" s="277"/>
      <c r="AM106" s="277"/>
      <c r="AN106" s="277"/>
      <c r="AO106" s="277"/>
      <c r="AP106" s="277"/>
      <c r="AQ106" s="277"/>
      <c r="AR106" s="277"/>
      <c r="AS106" s="277">
        <v>2378000</v>
      </c>
      <c r="AT106" s="277"/>
      <c r="AU106" s="277"/>
      <c r="AV106" s="277"/>
      <c r="AW106" s="277"/>
      <c r="AX106" s="277"/>
      <c r="AY106" s="277"/>
      <c r="AZ106" s="277"/>
      <c r="BA106" s="277"/>
      <c r="BB106" s="277"/>
      <c r="BC106" s="277"/>
      <c r="BD106" s="277"/>
      <c r="BE106" s="277"/>
      <c r="BF106" s="277"/>
      <c r="BG106" s="277"/>
      <c r="BH106" s="261">
        <f t="shared" si="1"/>
        <v>2378000</v>
      </c>
    </row>
    <row r="107" spans="1:60" s="246" customFormat="1">
      <c r="A107" s="288">
        <v>46112</v>
      </c>
      <c r="B107" s="276" t="s">
        <v>186</v>
      </c>
      <c r="C107" s="275">
        <v>7554</v>
      </c>
      <c r="D107" s="276"/>
      <c r="E107" s="277">
        <v>180000</v>
      </c>
      <c r="F107" s="277"/>
      <c r="G107" s="277"/>
      <c r="H107" s="277"/>
      <c r="I107" s="277"/>
      <c r="J107" s="277"/>
      <c r="K107" s="277"/>
      <c r="L107" s="277"/>
      <c r="M107" s="277"/>
      <c r="N107" s="277"/>
      <c r="O107" s="277"/>
      <c r="P107" s="277"/>
      <c r="Q107" s="277"/>
      <c r="R107" s="277"/>
      <c r="S107" s="277"/>
      <c r="T107" s="277"/>
      <c r="U107" s="277"/>
      <c r="V107" s="277"/>
      <c r="W107" s="277"/>
      <c r="X107" s="277"/>
      <c r="Y107" s="277"/>
      <c r="Z107" s="277"/>
      <c r="AA107" s="277"/>
      <c r="AB107" s="277"/>
      <c r="AC107" s="277"/>
      <c r="AD107" s="277"/>
      <c r="AE107" s="277"/>
      <c r="AF107" s="277"/>
      <c r="AG107" s="277"/>
      <c r="AH107" s="277"/>
      <c r="AI107" s="277"/>
      <c r="AJ107" s="277"/>
      <c r="AK107" s="277"/>
      <c r="AL107" s="277"/>
      <c r="AM107" s="277"/>
      <c r="AN107" s="277"/>
      <c r="AO107" s="277"/>
      <c r="AP107" s="277"/>
      <c r="AQ107" s="277"/>
      <c r="AR107" s="277"/>
      <c r="AS107" s="277"/>
      <c r="AT107" s="277"/>
      <c r="AU107" s="277"/>
      <c r="AV107" s="277">
        <v>180000</v>
      </c>
      <c r="AW107" s="277"/>
      <c r="AX107" s="277"/>
      <c r="AY107" s="277"/>
      <c r="AZ107" s="277"/>
      <c r="BA107" s="277"/>
      <c r="BB107" s="277"/>
      <c r="BC107" s="277"/>
      <c r="BD107" s="277"/>
      <c r="BE107" s="277"/>
      <c r="BF107" s="277"/>
      <c r="BG107" s="277"/>
      <c r="BH107" s="261">
        <f t="shared" si="1"/>
        <v>180000</v>
      </c>
    </row>
    <row r="108" spans="1:60" s="246" customFormat="1" ht="17.100000000000001" customHeight="1">
      <c r="A108" s="288">
        <v>46112</v>
      </c>
      <c r="B108" s="276" t="s">
        <v>30</v>
      </c>
      <c r="C108" s="275">
        <v>7560</v>
      </c>
      <c r="D108" s="276"/>
      <c r="E108" s="277">
        <v>5119000</v>
      </c>
      <c r="F108" s="277"/>
      <c r="G108" s="277"/>
      <c r="H108" s="277"/>
      <c r="I108" s="277"/>
      <c r="J108" s="277"/>
      <c r="K108" s="277"/>
      <c r="L108" s="277"/>
      <c r="M108" s="277"/>
      <c r="N108" s="277"/>
      <c r="O108" s="277"/>
      <c r="P108" s="277">
        <v>5119000</v>
      </c>
      <c r="Q108" s="277"/>
      <c r="R108" s="277"/>
      <c r="S108" s="277"/>
      <c r="T108" s="277"/>
      <c r="U108" s="277"/>
      <c r="V108" s="277"/>
      <c r="W108" s="277"/>
      <c r="X108" s="277"/>
      <c r="Y108" s="277"/>
      <c r="Z108" s="277"/>
      <c r="AA108" s="277"/>
      <c r="AB108" s="277"/>
      <c r="AC108" s="277"/>
      <c r="AD108" s="277"/>
      <c r="AE108" s="277"/>
      <c r="AF108" s="277"/>
      <c r="AG108" s="277"/>
      <c r="AH108" s="277"/>
      <c r="AI108" s="277"/>
      <c r="AJ108" s="277"/>
      <c r="AK108" s="277"/>
      <c r="AL108" s="277"/>
      <c r="AM108" s="277"/>
      <c r="AN108" s="277"/>
      <c r="AO108" s="277"/>
      <c r="AP108" s="277"/>
      <c r="AQ108" s="277"/>
      <c r="AR108" s="277"/>
      <c r="AS108" s="277"/>
      <c r="AT108" s="277"/>
      <c r="AU108" s="277"/>
      <c r="AV108" s="277"/>
      <c r="AW108" s="277"/>
      <c r="AX108" s="277"/>
      <c r="AY108" s="277"/>
      <c r="AZ108" s="277"/>
      <c r="BA108" s="277"/>
      <c r="BB108" s="277"/>
      <c r="BC108" s="277"/>
      <c r="BD108" s="277"/>
      <c r="BE108" s="277"/>
      <c r="BF108" s="277"/>
      <c r="BG108" s="277"/>
      <c r="BH108" s="261">
        <f t="shared" si="1"/>
        <v>5119000</v>
      </c>
    </row>
    <row r="109" spans="1:60" s="246" customFormat="1" ht="17.100000000000001" customHeight="1">
      <c r="A109" s="288">
        <v>46112</v>
      </c>
      <c r="B109" s="276" t="s">
        <v>128</v>
      </c>
      <c r="C109" s="275">
        <v>7564</v>
      </c>
      <c r="D109" s="276"/>
      <c r="E109" s="277">
        <v>3885812</v>
      </c>
      <c r="F109" s="277"/>
      <c r="G109" s="277">
        <v>3885812</v>
      </c>
      <c r="H109" s="277"/>
      <c r="I109" s="277"/>
      <c r="J109" s="277"/>
      <c r="K109" s="277"/>
      <c r="L109" s="277"/>
      <c r="M109" s="277"/>
      <c r="N109" s="277"/>
      <c r="O109" s="277"/>
      <c r="P109" s="277"/>
      <c r="Q109" s="277"/>
      <c r="R109" s="277"/>
      <c r="S109" s="277"/>
      <c r="T109" s="277"/>
      <c r="U109" s="277"/>
      <c r="V109" s="277"/>
      <c r="W109" s="277"/>
      <c r="X109" s="277"/>
      <c r="Y109" s="277"/>
      <c r="Z109" s="277"/>
      <c r="AA109" s="277"/>
      <c r="AB109" s="277"/>
      <c r="AC109" s="277"/>
      <c r="AD109" s="277"/>
      <c r="AE109" s="277"/>
      <c r="AF109" s="277"/>
      <c r="AG109" s="277"/>
      <c r="AH109" s="277"/>
      <c r="AI109" s="277"/>
      <c r="AJ109" s="277"/>
      <c r="AK109" s="277"/>
      <c r="AL109" s="277"/>
      <c r="AM109" s="277"/>
      <c r="AN109" s="277"/>
      <c r="AO109" s="277"/>
      <c r="AP109" s="277"/>
      <c r="AQ109" s="277"/>
      <c r="AR109" s="277"/>
      <c r="AS109" s="277"/>
      <c r="AT109" s="277"/>
      <c r="AU109" s="277"/>
      <c r="AV109" s="277"/>
      <c r="AW109" s="277"/>
      <c r="AX109" s="277"/>
      <c r="AY109" s="277"/>
      <c r="AZ109" s="277"/>
      <c r="BA109" s="277"/>
      <c r="BB109" s="277"/>
      <c r="BC109" s="277"/>
      <c r="BD109" s="277"/>
      <c r="BE109" s="277"/>
      <c r="BF109" s="277"/>
      <c r="BG109" s="277"/>
      <c r="BH109" s="261">
        <v>3885812</v>
      </c>
    </row>
    <row r="110" spans="1:60" s="246" customFormat="1" ht="17.100000000000001" customHeight="1">
      <c r="A110" s="288">
        <v>46112</v>
      </c>
      <c r="B110" s="276" t="s">
        <v>126</v>
      </c>
      <c r="C110" s="275">
        <v>7566</v>
      </c>
      <c r="D110" s="276"/>
      <c r="E110" s="277">
        <v>3502542</v>
      </c>
      <c r="F110" s="277"/>
      <c r="G110" s="292"/>
      <c r="H110" s="277"/>
      <c r="I110" s="277"/>
      <c r="J110" s="277"/>
      <c r="K110" s="277"/>
      <c r="L110" s="277"/>
      <c r="M110" s="277"/>
      <c r="N110" s="277"/>
      <c r="O110" s="277"/>
      <c r="P110" s="277"/>
      <c r="Q110" s="277"/>
      <c r="R110" s="277"/>
      <c r="S110" s="277"/>
      <c r="T110" s="277"/>
      <c r="U110" s="277"/>
      <c r="V110" s="277"/>
      <c r="W110" s="277"/>
      <c r="X110" s="277"/>
      <c r="Y110" s="277"/>
      <c r="Z110" s="277"/>
      <c r="AA110" s="277"/>
      <c r="AB110" s="277"/>
      <c r="AC110" s="277"/>
      <c r="AD110" s="277"/>
      <c r="AE110" s="277"/>
      <c r="AF110" s="277"/>
      <c r="AG110" s="277"/>
      <c r="AH110" s="277"/>
      <c r="AI110" s="277"/>
      <c r="AJ110" s="277"/>
      <c r="AK110" s="277"/>
      <c r="AL110" s="277"/>
      <c r="AM110" s="277"/>
      <c r="AN110" s="277"/>
      <c r="AO110" s="277">
        <v>3502542</v>
      </c>
      <c r="AP110" s="277"/>
      <c r="AQ110" s="277"/>
      <c r="AR110" s="277"/>
      <c r="AS110" s="277"/>
      <c r="AT110" s="277"/>
      <c r="AU110" s="277"/>
      <c r="AV110" s="277"/>
      <c r="AW110" s="277"/>
      <c r="AX110" s="277"/>
      <c r="AY110" s="277"/>
      <c r="AZ110" s="277"/>
      <c r="BA110" s="277"/>
      <c r="BB110" s="277"/>
      <c r="BC110" s="277"/>
      <c r="BD110" s="277"/>
      <c r="BE110" s="277"/>
      <c r="BF110" s="277"/>
      <c r="BG110" s="277"/>
      <c r="BH110" s="261">
        <f t="shared" si="1"/>
        <v>3502542</v>
      </c>
    </row>
    <row r="111" spans="1:60" s="246" customFormat="1" ht="17.100000000000001" customHeight="1">
      <c r="A111" s="288">
        <v>46112</v>
      </c>
      <c r="B111" s="276" t="s">
        <v>215</v>
      </c>
      <c r="C111" s="275">
        <v>7553</v>
      </c>
      <c r="D111" s="276"/>
      <c r="E111" s="277">
        <v>1450000</v>
      </c>
      <c r="F111" s="277"/>
      <c r="G111" s="277"/>
      <c r="H111" s="277"/>
      <c r="I111" s="277"/>
      <c r="J111" s="277"/>
      <c r="K111" s="277"/>
      <c r="L111" s="277"/>
      <c r="M111" s="277"/>
      <c r="N111" s="277"/>
      <c r="O111" s="277"/>
      <c r="P111" s="277"/>
      <c r="Q111" s="277"/>
      <c r="R111" s="277"/>
      <c r="S111" s="277"/>
      <c r="T111" s="277"/>
      <c r="U111" s="277"/>
      <c r="V111" s="277"/>
      <c r="W111" s="277"/>
      <c r="X111" s="277"/>
      <c r="Y111" s="277"/>
      <c r="Z111" s="277"/>
      <c r="AA111" s="277"/>
      <c r="AB111" s="277"/>
      <c r="AC111" s="277"/>
      <c r="AD111" s="277"/>
      <c r="AE111" s="277"/>
      <c r="AF111" s="277"/>
      <c r="AG111" s="277"/>
      <c r="AH111" s="277"/>
      <c r="AI111" s="277"/>
      <c r="AJ111" s="277"/>
      <c r="AK111" s="277"/>
      <c r="AL111" s="277"/>
      <c r="AM111" s="277"/>
      <c r="AN111" s="277"/>
      <c r="AO111" s="277"/>
      <c r="AP111" s="277"/>
      <c r="AQ111" s="277"/>
      <c r="AR111" s="277"/>
      <c r="AS111" s="277"/>
      <c r="AT111" s="277"/>
      <c r="AU111" s="277"/>
      <c r="AV111" s="277">
        <v>1450000</v>
      </c>
      <c r="AW111" s="277"/>
      <c r="AX111" s="277"/>
      <c r="AY111" s="277"/>
      <c r="AZ111" s="277"/>
      <c r="BA111" s="277"/>
      <c r="BB111" s="277"/>
      <c r="BC111" s="277"/>
      <c r="BD111" s="277"/>
      <c r="BE111" s="277"/>
      <c r="BF111" s="277"/>
      <c r="BG111" s="277"/>
      <c r="BH111" s="261">
        <f t="shared" si="1"/>
        <v>1450000</v>
      </c>
    </row>
    <row r="112" spans="1:60" s="246" customFormat="1" ht="17.100000000000001" customHeight="1">
      <c r="A112" s="288">
        <v>46112</v>
      </c>
      <c r="B112" s="276" t="s">
        <v>17</v>
      </c>
      <c r="C112" s="275"/>
      <c r="D112" s="276"/>
      <c r="E112" s="277">
        <v>1104588</v>
      </c>
      <c r="F112" s="277"/>
      <c r="G112" s="277"/>
      <c r="H112" s="277"/>
      <c r="I112" s="277"/>
      <c r="J112" s="277"/>
      <c r="K112" s="277"/>
      <c r="L112" s="277"/>
      <c r="M112" s="277"/>
      <c r="N112" s="277"/>
      <c r="O112" s="277"/>
      <c r="P112" s="277"/>
      <c r="Q112" s="277"/>
      <c r="R112" s="277"/>
      <c r="S112" s="277"/>
      <c r="T112" s="277"/>
      <c r="U112" s="277"/>
      <c r="V112" s="277"/>
      <c r="W112" s="277"/>
      <c r="X112" s="277"/>
      <c r="Y112" s="277"/>
      <c r="Z112" s="277"/>
      <c r="AA112" s="277"/>
      <c r="AB112" s="277"/>
      <c r="AC112" s="277"/>
      <c r="AD112" s="277"/>
      <c r="AE112" s="277"/>
      <c r="AF112" s="277"/>
      <c r="AG112" s="277"/>
      <c r="AH112" s="277"/>
      <c r="AI112" s="277"/>
      <c r="AJ112" s="277"/>
      <c r="AK112" s="277"/>
      <c r="AL112" s="277"/>
      <c r="AM112" s="277"/>
      <c r="AN112" s="277"/>
      <c r="AO112" s="277"/>
      <c r="AP112" s="277"/>
      <c r="AQ112" s="277"/>
      <c r="AR112" s="277"/>
      <c r="AS112" s="277"/>
      <c r="AT112" s="277"/>
      <c r="AU112" s="277"/>
      <c r="AV112" s="277"/>
      <c r="AW112" s="277"/>
      <c r="AX112" s="277"/>
      <c r="AY112" s="277">
        <v>1104588</v>
      </c>
      <c r="AZ112" s="277"/>
      <c r="BA112" s="277"/>
      <c r="BB112" s="277"/>
      <c r="BC112" s="277"/>
      <c r="BD112" s="277"/>
      <c r="BE112" s="277"/>
      <c r="BF112" s="277"/>
      <c r="BG112" s="277"/>
      <c r="BH112" s="261">
        <f t="shared" si="1"/>
        <v>1104588</v>
      </c>
    </row>
    <row r="113" spans="1:60" s="249" customFormat="1" ht="17.100000000000001" customHeight="1">
      <c r="A113" s="252"/>
      <c r="B113" s="252" t="s">
        <v>5</v>
      </c>
      <c r="C113" s="293"/>
      <c r="D113" s="252"/>
      <c r="E113" s="294">
        <f>SUM(E4:E112)</f>
        <v>1613284274</v>
      </c>
      <c r="F113" s="294">
        <f t="shared" ref="F113:BG113" si="2">SUM(F4:F112)</f>
        <v>75574670</v>
      </c>
      <c r="G113" s="294">
        <f t="shared" si="2"/>
        <v>3885812</v>
      </c>
      <c r="H113" s="294">
        <f t="shared" si="2"/>
        <v>1500000</v>
      </c>
      <c r="I113" s="294">
        <f t="shared" si="2"/>
        <v>5607850</v>
      </c>
      <c r="J113" s="294">
        <f t="shared" si="2"/>
        <v>2140000</v>
      </c>
      <c r="K113" s="294">
        <f t="shared" si="2"/>
        <v>1050000</v>
      </c>
      <c r="L113" s="294">
        <f t="shared" si="2"/>
        <v>430000</v>
      </c>
      <c r="M113" s="294">
        <f t="shared" si="2"/>
        <v>1458000</v>
      </c>
      <c r="N113" s="294">
        <f t="shared" si="2"/>
        <v>146175260</v>
      </c>
      <c r="O113" s="294">
        <f t="shared" si="2"/>
        <v>68444000</v>
      </c>
      <c r="P113" s="294">
        <f t="shared" si="2"/>
        <v>73427000</v>
      </c>
      <c r="Q113" s="294">
        <f t="shared" si="2"/>
        <v>81263420</v>
      </c>
      <c r="R113" s="294">
        <f t="shared" si="2"/>
        <v>2780000</v>
      </c>
      <c r="S113" s="294">
        <f t="shared" si="2"/>
        <v>7347000</v>
      </c>
      <c r="T113" s="294">
        <f t="shared" si="2"/>
        <v>20747000</v>
      </c>
      <c r="U113" s="294">
        <f t="shared" si="2"/>
        <v>47245000</v>
      </c>
      <c r="V113" s="294">
        <f t="shared" si="2"/>
        <v>45829000</v>
      </c>
      <c r="W113" s="294">
        <f t="shared" si="2"/>
        <v>3140000</v>
      </c>
      <c r="X113" s="294">
        <f t="shared" si="2"/>
        <v>1650000</v>
      </c>
      <c r="Y113" s="294">
        <f t="shared" si="2"/>
        <v>64800000</v>
      </c>
      <c r="Z113" s="294">
        <f t="shared" si="2"/>
        <v>137775000</v>
      </c>
      <c r="AA113" s="294">
        <f t="shared" si="2"/>
        <v>211200000</v>
      </c>
      <c r="AB113" s="294">
        <f t="shared" si="2"/>
        <v>25560000</v>
      </c>
      <c r="AC113" s="294">
        <f t="shared" si="2"/>
        <v>18060000</v>
      </c>
      <c r="AD113" s="294">
        <f t="shared" si="2"/>
        <v>12500000</v>
      </c>
      <c r="AE113" s="294">
        <f t="shared" si="2"/>
        <v>3746000</v>
      </c>
      <c r="AF113" s="294">
        <f t="shared" si="2"/>
        <v>5985000</v>
      </c>
      <c r="AG113" s="294">
        <f t="shared" si="2"/>
        <v>4000000</v>
      </c>
      <c r="AH113" s="294">
        <f t="shared" si="2"/>
        <v>22024000</v>
      </c>
      <c r="AI113" s="294">
        <f t="shared" si="2"/>
        <v>500000</v>
      </c>
      <c r="AJ113" s="294">
        <f t="shared" si="2"/>
        <v>8760000</v>
      </c>
      <c r="AK113" s="294">
        <f t="shared" si="2"/>
        <v>38990000</v>
      </c>
      <c r="AL113" s="294">
        <f t="shared" si="2"/>
        <v>16193000</v>
      </c>
      <c r="AM113" s="294">
        <f t="shared" si="2"/>
        <v>510000</v>
      </c>
      <c r="AN113" s="294">
        <f t="shared" si="2"/>
        <v>13427680</v>
      </c>
      <c r="AO113" s="294">
        <f t="shared" si="2"/>
        <v>110648266</v>
      </c>
      <c r="AP113" s="294">
        <f t="shared" si="2"/>
        <v>43500000</v>
      </c>
      <c r="AQ113" s="294">
        <f t="shared" si="2"/>
        <v>2030000</v>
      </c>
      <c r="AR113" s="294">
        <f t="shared" si="2"/>
        <v>7154000</v>
      </c>
      <c r="AS113" s="294">
        <f t="shared" si="2"/>
        <v>4272000</v>
      </c>
      <c r="AT113" s="294">
        <f t="shared" si="2"/>
        <v>5000000</v>
      </c>
      <c r="AU113" s="294">
        <f t="shared" si="2"/>
        <v>6850000</v>
      </c>
      <c r="AV113" s="294">
        <f t="shared" si="2"/>
        <v>5499000</v>
      </c>
      <c r="AW113" s="294">
        <f t="shared" si="2"/>
        <v>6783953</v>
      </c>
      <c r="AX113" s="294">
        <f t="shared" si="2"/>
        <v>1710000</v>
      </c>
      <c r="AY113" s="294">
        <f t="shared" si="2"/>
        <v>1304588</v>
      </c>
      <c r="AZ113" s="294">
        <f t="shared" si="2"/>
        <v>1200000</v>
      </c>
      <c r="BA113" s="294">
        <f t="shared" si="2"/>
        <v>15000000</v>
      </c>
      <c r="BB113" s="294">
        <f t="shared" si="2"/>
        <v>142384</v>
      </c>
      <c r="BC113" s="294">
        <f t="shared" si="2"/>
        <v>7690000</v>
      </c>
      <c r="BD113" s="294">
        <f t="shared" si="2"/>
        <v>0</v>
      </c>
      <c r="BE113" s="294">
        <f t="shared" si="2"/>
        <v>1400000</v>
      </c>
      <c r="BF113" s="294">
        <f t="shared" si="2"/>
        <v>63400000</v>
      </c>
      <c r="BG113" s="294">
        <f t="shared" si="2"/>
        <v>198011000</v>
      </c>
      <c r="BH113" s="294">
        <f t="shared" ref="BH113" si="3">SUM(BH4:BH112)</f>
        <v>1655319883</v>
      </c>
    </row>
    <row r="114" spans="1:60" s="145" customFormat="1" ht="15.75">
      <c r="A114" s="252"/>
      <c r="B114" s="147"/>
      <c r="C114" s="295"/>
      <c r="D114" s="147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96"/>
      <c r="AB114" s="296"/>
      <c r="AC114" s="296"/>
      <c r="AD114" s="296"/>
      <c r="AE114" s="296"/>
      <c r="AF114" s="296"/>
      <c r="AG114" s="296"/>
      <c r="AH114" s="296"/>
      <c r="AI114" s="296"/>
      <c r="AJ114" s="296"/>
      <c r="AK114" s="296"/>
      <c r="AL114" s="296"/>
      <c r="AM114" s="296"/>
      <c r="AN114" s="296"/>
      <c r="AO114" s="296"/>
      <c r="AP114" s="296"/>
      <c r="AQ114" s="296"/>
      <c r="AR114" s="296"/>
      <c r="AS114" s="296"/>
      <c r="AT114" s="296"/>
      <c r="AU114" s="296"/>
      <c r="AV114" s="296"/>
      <c r="AW114" s="296"/>
      <c r="AX114" s="296"/>
      <c r="AY114" s="296"/>
      <c r="AZ114" s="296"/>
      <c r="BA114" s="296"/>
      <c r="BB114" s="296"/>
      <c r="BC114" s="296"/>
      <c r="BD114" s="296"/>
      <c r="BE114" s="296"/>
      <c r="BF114" s="296"/>
      <c r="BG114" s="296"/>
      <c r="BH114" s="297">
        <f>F114+H114+I114+J114+K114+L114+M114+N114+O114+P114+Q114+R114+S114+T114+U114+V114+W114+X114+Y114+Z114+AA114+AB114+AC114+AD114+AE114+AF114+AG114+AH114+AI114+AJ114+AK114+AL114+AM114+AN114+AO114+AP114+AQ114+AR114+AS114+AT114+AU114+AV114+AW114+AX114+AY114+AZ114+BA114+BB114+BC114+BD114+BE114</f>
        <v>0</v>
      </c>
    </row>
  </sheetData>
  <mergeCells count="1">
    <mergeCell ref="B2:D2"/>
  </mergeCells>
  <pageMargins left="0" right="0" top="0.55118110236220497" bottom="0.55118110236220497" header="0.31496062992126" footer="0.31496062992126"/>
  <pageSetup paperSize="9" scale="8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84"/>
  <sheetViews>
    <sheetView topLeftCell="A2" workbookViewId="0">
      <pane ySplit="2" topLeftCell="A4" activePane="bottomLeft" state="frozen"/>
      <selection pane="bottomLeft" activeCell="B4" sqref="B4:B77"/>
    </sheetView>
  </sheetViews>
  <sheetFormatPr defaultColWidth="8.7109375" defaultRowHeight="11.25"/>
  <cols>
    <col min="1" max="1" width="10.85546875" style="163" customWidth="1"/>
    <col min="2" max="2" width="25" style="163" customWidth="1"/>
    <col min="3" max="3" width="8.85546875" style="163" customWidth="1"/>
    <col min="4" max="4" width="6.85546875" style="163" customWidth="1"/>
    <col min="5" max="5" width="13.7109375" style="190" customWidth="1"/>
    <col min="6" max="6" width="8.85546875" style="190" customWidth="1"/>
    <col min="7" max="14" width="10.140625" style="190" customWidth="1"/>
    <col min="15" max="15" width="10.7109375" style="190" customWidth="1"/>
    <col min="16" max="16" width="10.28515625" style="190" customWidth="1"/>
    <col min="17" max="17" width="11.85546875" style="190" customWidth="1"/>
    <col min="18" max="18" width="11.140625" style="190" customWidth="1"/>
    <col min="19" max="19" width="12" style="190" customWidth="1"/>
    <col min="20" max="20" width="10.28515625" style="190" customWidth="1"/>
    <col min="21" max="21" width="11.140625" style="190" customWidth="1"/>
    <col min="22" max="23" width="12" style="190" customWidth="1"/>
    <col min="24" max="25" width="11.140625" style="190" customWidth="1"/>
    <col min="26" max="26" width="9.42578125" style="190" customWidth="1"/>
    <col min="27" max="27" width="11.140625" style="190" customWidth="1"/>
    <col min="28" max="28" width="9.42578125" style="190" customWidth="1"/>
    <col min="29" max="31" width="11.140625" style="190" customWidth="1"/>
    <col min="32" max="33" width="9.42578125" style="190" customWidth="1"/>
    <col min="34" max="35" width="8.85546875" style="190" customWidth="1"/>
    <col min="36" max="36" width="9.42578125" style="190" customWidth="1"/>
    <col min="37" max="41" width="10.28515625" style="190" customWidth="1"/>
    <col min="42" max="42" width="12.140625" style="190" customWidth="1"/>
    <col min="43" max="43" width="10.28515625" style="190" customWidth="1"/>
    <col min="44" max="44" width="14.42578125" style="190" customWidth="1"/>
    <col min="45" max="47" width="8.85546875" style="190" customWidth="1"/>
    <col min="48" max="76" width="8.85546875" style="163" customWidth="1"/>
    <col min="77" max="16384" width="8.7109375" style="163"/>
  </cols>
  <sheetData>
    <row r="1" spans="1:73" hidden="1"/>
    <row r="2" spans="1:73" s="226" customFormat="1" ht="30.95" customHeight="1">
      <c r="B2" s="332" t="s">
        <v>216</v>
      </c>
      <c r="C2" s="333"/>
      <c r="D2" s="333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  <c r="AM2" s="229"/>
      <c r="AN2" s="229"/>
      <c r="AO2" s="229"/>
      <c r="AP2" s="229"/>
      <c r="AQ2" s="229"/>
      <c r="AR2" s="229"/>
      <c r="AS2" s="229"/>
      <c r="AT2" s="229"/>
      <c r="AU2" s="229"/>
      <c r="AV2" s="229"/>
      <c r="AW2" s="229"/>
      <c r="AX2" s="229"/>
      <c r="AY2" s="229"/>
      <c r="AZ2" s="229"/>
      <c r="BA2" s="229"/>
      <c r="BB2" s="229"/>
      <c r="BC2" s="229"/>
      <c r="BD2" s="229"/>
      <c r="BE2" s="229"/>
      <c r="BF2" s="229"/>
      <c r="BG2" s="229"/>
      <c r="BH2" s="229"/>
      <c r="BI2" s="229"/>
      <c r="BJ2" s="229"/>
      <c r="BK2" s="229"/>
      <c r="BL2" s="229"/>
      <c r="BM2" s="229"/>
      <c r="BN2" s="229"/>
      <c r="BO2" s="229"/>
      <c r="BP2" s="229"/>
      <c r="BQ2" s="229"/>
      <c r="BR2" s="229"/>
      <c r="BS2" s="229"/>
      <c r="BT2" s="229"/>
    </row>
    <row r="3" spans="1:73" s="37" customFormat="1" ht="58.5" customHeight="1">
      <c r="A3" s="23" t="s">
        <v>1</v>
      </c>
      <c r="B3" s="23" t="s">
        <v>2</v>
      </c>
      <c r="C3" s="24" t="s">
        <v>3</v>
      </c>
      <c r="D3" s="23" t="s">
        <v>4</v>
      </c>
      <c r="E3" s="25" t="s">
        <v>5</v>
      </c>
      <c r="F3" s="25" t="s">
        <v>37</v>
      </c>
      <c r="G3" s="25" t="s">
        <v>66</v>
      </c>
      <c r="H3" s="25" t="s">
        <v>14</v>
      </c>
      <c r="I3" s="25" t="s">
        <v>217</v>
      </c>
      <c r="J3" s="25" t="s">
        <v>153</v>
      </c>
      <c r="K3" s="25" t="s">
        <v>218</v>
      </c>
      <c r="L3" s="25" t="s">
        <v>158</v>
      </c>
      <c r="M3" s="25" t="s">
        <v>68</v>
      </c>
      <c r="N3" s="25" t="s">
        <v>51</v>
      </c>
      <c r="O3" s="25" t="s">
        <v>12</v>
      </c>
      <c r="P3" s="25" t="s">
        <v>219</v>
      </c>
      <c r="Q3" s="25" t="s">
        <v>46</v>
      </c>
      <c r="R3" s="25" t="s">
        <v>7</v>
      </c>
      <c r="S3" s="25" t="s">
        <v>147</v>
      </c>
      <c r="T3" s="25" t="s">
        <v>53</v>
      </c>
      <c r="U3" s="25" t="s">
        <v>220</v>
      </c>
      <c r="V3" s="25" t="s">
        <v>44</v>
      </c>
      <c r="W3" s="25" t="s">
        <v>48</v>
      </c>
      <c r="X3" s="25" t="s">
        <v>221</v>
      </c>
      <c r="Y3" s="25" t="s">
        <v>222</v>
      </c>
      <c r="Z3" s="25" t="s">
        <v>223</v>
      </c>
      <c r="AA3" s="25" t="s">
        <v>224</v>
      </c>
      <c r="AB3" s="25" t="s">
        <v>135</v>
      </c>
      <c r="AC3" s="25" t="s">
        <v>225</v>
      </c>
      <c r="AD3" s="25" t="s">
        <v>226</v>
      </c>
      <c r="AE3" s="25" t="s">
        <v>39</v>
      </c>
      <c r="AF3" s="25" t="s">
        <v>227</v>
      </c>
      <c r="AG3" s="25" t="s">
        <v>58</v>
      </c>
      <c r="AH3" s="25" t="s">
        <v>228</v>
      </c>
      <c r="AI3" s="25" t="s">
        <v>134</v>
      </c>
      <c r="AJ3" s="25" t="s">
        <v>128</v>
      </c>
      <c r="AK3" s="25" t="s">
        <v>229</v>
      </c>
      <c r="AL3" s="25" t="s">
        <v>230</v>
      </c>
      <c r="AM3" s="25" t="s">
        <v>231</v>
      </c>
      <c r="AN3" s="25" t="s">
        <v>232</v>
      </c>
      <c r="AO3" s="25" t="s">
        <v>233</v>
      </c>
      <c r="AP3" s="25" t="s">
        <v>234</v>
      </c>
      <c r="AQ3" s="25" t="s">
        <v>235</v>
      </c>
      <c r="AR3" s="25" t="s">
        <v>5</v>
      </c>
      <c r="AS3" s="230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3"/>
    </row>
    <row r="4" spans="1:73" s="39" customFormat="1" ht="18.95" customHeight="1">
      <c r="A4" s="49">
        <v>46113</v>
      </c>
      <c r="B4" s="50" t="s">
        <v>236</v>
      </c>
      <c r="C4" s="51">
        <v>7563</v>
      </c>
      <c r="D4" s="50"/>
      <c r="E4" s="52">
        <v>6599500</v>
      </c>
      <c r="F4" s="52"/>
      <c r="G4" s="52"/>
      <c r="H4" s="52"/>
      <c r="I4" s="52">
        <v>6599500</v>
      </c>
      <c r="J4" s="52"/>
      <c r="K4" s="52"/>
      <c r="L4" s="52"/>
      <c r="M4" s="52"/>
      <c r="N4" s="52"/>
      <c r="O4" s="52"/>
      <c r="P4" s="52"/>
      <c r="Q4" s="52"/>
      <c r="R4" s="52"/>
      <c r="S4" s="52">
        <v>3369000</v>
      </c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>
        <f>F4+G4+H4+I4+J4+K4+L4+M4+N4+O4+P4+Q4+R4+S4+T4+U4+V4+W4+X4+Y4+Z4+AA4+AB4+AC4+AD4+AE4+AF4+AG4+AH4+AI4+AJ4+AK4+AL4+AM4+AN4+AO4+AP4+AQ4</f>
        <v>9968500</v>
      </c>
      <c r="AS4" s="231"/>
      <c r="AT4" s="231"/>
      <c r="AU4" s="231"/>
      <c r="AV4" s="231"/>
      <c r="AW4" s="231"/>
      <c r="AX4" s="231"/>
      <c r="AY4" s="231"/>
      <c r="AZ4" s="231"/>
      <c r="BA4" s="231"/>
      <c r="BB4" s="231"/>
      <c r="BC4" s="231"/>
      <c r="BD4" s="231"/>
      <c r="BE4" s="231"/>
      <c r="BF4" s="231"/>
      <c r="BG4" s="231"/>
      <c r="BH4" s="231"/>
      <c r="BI4" s="231"/>
      <c r="BJ4" s="231"/>
      <c r="BK4" s="231"/>
      <c r="BL4" s="231"/>
      <c r="BM4" s="231"/>
      <c r="BN4" s="231"/>
      <c r="BO4" s="231"/>
      <c r="BP4" s="231"/>
      <c r="BQ4" s="231"/>
      <c r="BR4" s="231"/>
      <c r="BS4" s="231"/>
      <c r="BT4" s="231"/>
    </row>
    <row r="5" spans="1:73" s="39" customFormat="1" ht="18.95" customHeight="1">
      <c r="A5" s="49">
        <v>46114</v>
      </c>
      <c r="B5" s="50" t="s">
        <v>181</v>
      </c>
      <c r="C5" s="51">
        <v>7568</v>
      </c>
      <c r="D5" s="50"/>
      <c r="E5" s="52">
        <v>3369000</v>
      </c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>
        <f t="shared" ref="AR5:AR68" si="0">F5+G5+H5+I5+J5+K5+L5+M5+N5+O5+P5+Q5+R5+S5+T5+U5+V5+W5+X5+Y5+Z5+AA5+AB5+AC5+AD5+AE5+AF5+AG5+AH5+AI5+AJ5+AK5+AL5+AM5+AN5+AO5+AP5+AQ5</f>
        <v>0</v>
      </c>
      <c r="AS5" s="231"/>
      <c r="AT5" s="231"/>
      <c r="AU5" s="231"/>
      <c r="AV5" s="231"/>
      <c r="AW5" s="231"/>
      <c r="AX5" s="231"/>
      <c r="AY5" s="231"/>
      <c r="AZ5" s="231"/>
      <c r="BA5" s="231"/>
      <c r="BB5" s="231"/>
      <c r="BC5" s="231"/>
      <c r="BD5" s="231"/>
      <c r="BE5" s="231"/>
      <c r="BF5" s="231"/>
      <c r="BG5" s="231"/>
      <c r="BH5" s="231"/>
      <c r="BI5" s="231"/>
      <c r="BJ5" s="231"/>
      <c r="BK5" s="231"/>
      <c r="BL5" s="231"/>
      <c r="BM5" s="231"/>
      <c r="BN5" s="231"/>
      <c r="BO5" s="231"/>
      <c r="BP5" s="231"/>
      <c r="BQ5" s="231"/>
      <c r="BR5" s="231"/>
      <c r="BS5" s="231"/>
      <c r="BT5" s="231"/>
    </row>
    <row r="6" spans="1:73" s="39" customFormat="1" ht="18.95" customHeight="1">
      <c r="A6" s="49">
        <v>46114</v>
      </c>
      <c r="B6" s="50" t="s">
        <v>237</v>
      </c>
      <c r="C6" s="51">
        <v>7582</v>
      </c>
      <c r="D6" s="50"/>
      <c r="E6" s="52">
        <v>766000</v>
      </c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>
        <v>766000</v>
      </c>
      <c r="AP6" s="52"/>
      <c r="AQ6" s="52"/>
      <c r="AR6" s="52">
        <f t="shared" si="0"/>
        <v>766000</v>
      </c>
      <c r="AS6" s="231"/>
      <c r="AT6" s="231"/>
      <c r="AU6" s="231"/>
      <c r="AV6" s="231"/>
      <c r="AW6" s="231"/>
      <c r="AX6" s="231"/>
      <c r="AY6" s="231"/>
      <c r="AZ6" s="231"/>
      <c r="BA6" s="231"/>
      <c r="BB6" s="231"/>
      <c r="BC6" s="231"/>
      <c r="BD6" s="231"/>
      <c r="BE6" s="231"/>
      <c r="BF6" s="231"/>
      <c r="BG6" s="231"/>
      <c r="BH6" s="231"/>
      <c r="BI6" s="231"/>
      <c r="BJ6" s="231"/>
      <c r="BK6" s="231"/>
      <c r="BL6" s="231"/>
      <c r="BM6" s="231"/>
      <c r="BN6" s="231"/>
      <c r="BO6" s="231"/>
      <c r="BP6" s="231"/>
      <c r="BQ6" s="231"/>
      <c r="BR6" s="231"/>
      <c r="BS6" s="231"/>
      <c r="BT6" s="231"/>
    </row>
    <row r="7" spans="1:73" s="216" customFormat="1">
      <c r="A7" s="219">
        <v>46114</v>
      </c>
      <c r="B7" s="220" t="s">
        <v>238</v>
      </c>
      <c r="C7" s="220">
        <v>7578</v>
      </c>
      <c r="D7" s="220">
        <v>9755</v>
      </c>
      <c r="E7" s="221">
        <v>500000</v>
      </c>
      <c r="F7" s="221"/>
      <c r="G7" s="221"/>
      <c r="H7" s="221"/>
      <c r="I7" s="221"/>
      <c r="J7" s="221"/>
      <c r="K7" s="221"/>
      <c r="L7" s="221"/>
      <c r="M7" s="221"/>
      <c r="N7" s="221"/>
      <c r="O7" s="232">
        <v>100000</v>
      </c>
      <c r="P7" s="221">
        <v>400000</v>
      </c>
      <c r="Q7" s="221"/>
      <c r="R7" s="221"/>
      <c r="S7" s="221"/>
      <c r="T7" s="221"/>
      <c r="U7" s="221"/>
      <c r="V7" s="221"/>
      <c r="W7" s="221"/>
      <c r="X7" s="221"/>
      <c r="Y7" s="221"/>
      <c r="Z7" s="221"/>
      <c r="AA7" s="221"/>
      <c r="AB7" s="221"/>
      <c r="AC7" s="221"/>
      <c r="AD7" s="221"/>
      <c r="AE7" s="221"/>
      <c r="AF7" s="221"/>
      <c r="AG7" s="221"/>
      <c r="AH7" s="221"/>
      <c r="AI7" s="221"/>
      <c r="AJ7" s="221"/>
      <c r="AK7" s="221"/>
      <c r="AL7" s="221"/>
      <c r="AM7" s="221"/>
      <c r="AN7" s="221"/>
      <c r="AO7" s="221"/>
      <c r="AP7" s="221"/>
      <c r="AQ7" s="221"/>
      <c r="AR7" s="52">
        <f t="shared" si="0"/>
        <v>500000</v>
      </c>
      <c r="AS7" s="233"/>
      <c r="AT7" s="233"/>
      <c r="AU7" s="233"/>
    </row>
    <row r="8" spans="1:73" s="216" customFormat="1">
      <c r="A8" s="219">
        <v>46114</v>
      </c>
      <c r="B8" s="220" t="s">
        <v>206</v>
      </c>
      <c r="C8" s="220">
        <v>7575</v>
      </c>
      <c r="D8" s="220">
        <v>9760</v>
      </c>
      <c r="E8" s="221">
        <v>600000</v>
      </c>
      <c r="F8" s="221"/>
      <c r="G8" s="221"/>
      <c r="H8" s="221"/>
      <c r="I8" s="221"/>
      <c r="J8" s="221"/>
      <c r="K8" s="221"/>
      <c r="L8" s="221"/>
      <c r="M8" s="221"/>
      <c r="N8" s="221"/>
      <c r="O8" s="221"/>
      <c r="P8" s="221"/>
      <c r="Q8" s="221">
        <v>600000</v>
      </c>
      <c r="R8" s="221"/>
      <c r="S8" s="221"/>
      <c r="T8" s="221"/>
      <c r="U8" s="221"/>
      <c r="V8" s="221"/>
      <c r="W8" s="221"/>
      <c r="X8" s="221"/>
      <c r="Y8" s="221"/>
      <c r="Z8" s="221"/>
      <c r="AA8" s="221"/>
      <c r="AB8" s="221"/>
      <c r="AC8" s="221"/>
      <c r="AD8" s="221"/>
      <c r="AE8" s="221"/>
      <c r="AF8" s="221"/>
      <c r="AG8" s="221"/>
      <c r="AH8" s="221"/>
      <c r="AI8" s="221"/>
      <c r="AJ8" s="221"/>
      <c r="AK8" s="221"/>
      <c r="AL8" s="221"/>
      <c r="AM8" s="221"/>
      <c r="AN8" s="221"/>
      <c r="AO8" s="221"/>
      <c r="AP8" s="221"/>
      <c r="AQ8" s="221"/>
      <c r="AR8" s="52">
        <f t="shared" si="0"/>
        <v>600000</v>
      </c>
      <c r="AS8" s="233"/>
      <c r="AT8" s="233"/>
      <c r="AU8" s="233"/>
    </row>
    <row r="9" spans="1:73" s="227" customFormat="1">
      <c r="A9" s="234">
        <v>46114</v>
      </c>
      <c r="B9" s="235" t="s">
        <v>236</v>
      </c>
      <c r="C9" s="235">
        <v>7571</v>
      </c>
      <c r="D9" s="235"/>
      <c r="E9" s="236">
        <v>11310000</v>
      </c>
      <c r="F9" s="236"/>
      <c r="G9" s="236"/>
      <c r="H9" s="236"/>
      <c r="I9" s="236"/>
      <c r="J9" s="236"/>
      <c r="K9" s="236"/>
      <c r="L9" s="236"/>
      <c r="M9" s="236"/>
      <c r="N9" s="236"/>
      <c r="O9" s="236">
        <v>600000</v>
      </c>
      <c r="P9" s="236"/>
      <c r="Q9" s="236"/>
      <c r="R9" s="236"/>
      <c r="S9" s="236"/>
      <c r="T9" s="236"/>
      <c r="U9" s="236"/>
      <c r="V9" s="236"/>
      <c r="W9" s="236"/>
      <c r="X9" s="236"/>
      <c r="Y9" s="236"/>
      <c r="Z9" s="236">
        <v>150000</v>
      </c>
      <c r="AA9" s="236"/>
      <c r="AB9" s="236"/>
      <c r="AC9" s="236"/>
      <c r="AD9" s="236"/>
      <c r="AE9" s="236"/>
      <c r="AF9" s="236"/>
      <c r="AG9" s="236"/>
      <c r="AH9" s="236"/>
      <c r="AI9" s="236"/>
      <c r="AJ9" s="236"/>
      <c r="AK9" s="236"/>
      <c r="AL9" s="236"/>
      <c r="AM9" s="236"/>
      <c r="AN9" s="236">
        <v>5000000</v>
      </c>
      <c r="AO9" s="236">
        <v>5000000</v>
      </c>
      <c r="AP9" s="236"/>
      <c r="AQ9" s="236">
        <v>560000</v>
      </c>
      <c r="AR9" s="52">
        <f t="shared" si="0"/>
        <v>11310000</v>
      </c>
      <c r="AS9" s="237"/>
      <c r="AT9" s="237"/>
      <c r="AU9" s="237"/>
    </row>
    <row r="10" spans="1:73" s="216" customFormat="1">
      <c r="A10" s="219">
        <v>46114</v>
      </c>
      <c r="B10" s="220" t="s">
        <v>239</v>
      </c>
      <c r="C10" s="220">
        <v>7581</v>
      </c>
      <c r="D10" s="220">
        <v>9772</v>
      </c>
      <c r="E10" s="221">
        <v>300000</v>
      </c>
      <c r="F10" s="221"/>
      <c r="G10" s="221"/>
      <c r="H10" s="221"/>
      <c r="I10" s="221"/>
      <c r="J10" s="221"/>
      <c r="K10" s="221"/>
      <c r="L10" s="221"/>
      <c r="M10" s="221"/>
      <c r="N10" s="221"/>
      <c r="O10" s="221"/>
      <c r="P10" s="221"/>
      <c r="Q10" s="221"/>
      <c r="R10" s="221">
        <v>300000</v>
      </c>
      <c r="S10" s="221"/>
      <c r="T10" s="221"/>
      <c r="U10" s="221"/>
      <c r="V10" s="221"/>
      <c r="W10" s="221"/>
      <c r="X10" s="221"/>
      <c r="Y10" s="221"/>
      <c r="Z10" s="221"/>
      <c r="AA10" s="221"/>
      <c r="AB10" s="221"/>
      <c r="AC10" s="221"/>
      <c r="AD10" s="221"/>
      <c r="AE10" s="221"/>
      <c r="AF10" s="221"/>
      <c r="AG10" s="221"/>
      <c r="AH10" s="221"/>
      <c r="AI10" s="221"/>
      <c r="AJ10" s="221"/>
      <c r="AK10" s="221"/>
      <c r="AL10" s="221"/>
      <c r="AM10" s="221"/>
      <c r="AN10" s="221"/>
      <c r="AO10" s="221"/>
      <c r="AP10" s="221"/>
      <c r="AQ10" s="221"/>
      <c r="AR10" s="52">
        <f t="shared" si="0"/>
        <v>300000</v>
      </c>
      <c r="AS10" s="233"/>
      <c r="AT10" s="233"/>
      <c r="AU10" s="233"/>
    </row>
    <row r="11" spans="1:73" s="91" customFormat="1">
      <c r="A11" s="100">
        <v>46114</v>
      </c>
      <c r="B11" s="101" t="s">
        <v>94</v>
      </c>
      <c r="C11" s="101">
        <v>7580</v>
      </c>
      <c r="D11" s="101">
        <v>9775</v>
      </c>
      <c r="E11" s="102">
        <v>110716790</v>
      </c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>
        <v>110716790</v>
      </c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2"/>
      <c r="AQ11" s="102"/>
      <c r="AR11" s="52">
        <f t="shared" si="0"/>
        <v>110716790</v>
      </c>
      <c r="AS11" s="103"/>
      <c r="AT11" s="103"/>
      <c r="AU11" s="103"/>
    </row>
    <row r="12" spans="1:73" s="216" customFormat="1">
      <c r="A12" s="219">
        <v>46114</v>
      </c>
      <c r="B12" s="220" t="s">
        <v>240</v>
      </c>
      <c r="C12" s="220">
        <v>7603</v>
      </c>
      <c r="D12" s="220">
        <v>9739</v>
      </c>
      <c r="E12" s="221">
        <v>1073000</v>
      </c>
      <c r="F12" s="221"/>
      <c r="G12" s="221"/>
      <c r="H12" s="221"/>
      <c r="I12" s="221"/>
      <c r="J12" s="221"/>
      <c r="K12" s="221"/>
      <c r="L12" s="221"/>
      <c r="M12" s="221"/>
      <c r="N12" s="221"/>
      <c r="O12" s="221"/>
      <c r="P12" s="221"/>
      <c r="Q12" s="221"/>
      <c r="R12" s="221"/>
      <c r="S12" s="221">
        <v>1073000</v>
      </c>
      <c r="T12" s="221"/>
      <c r="U12" s="221"/>
      <c r="V12" s="221"/>
      <c r="W12" s="221"/>
      <c r="X12" s="221"/>
      <c r="Y12" s="221"/>
      <c r="Z12" s="221"/>
      <c r="AA12" s="221"/>
      <c r="AB12" s="221"/>
      <c r="AC12" s="221"/>
      <c r="AD12" s="221"/>
      <c r="AE12" s="221"/>
      <c r="AF12" s="221"/>
      <c r="AG12" s="221"/>
      <c r="AH12" s="221"/>
      <c r="AI12" s="221"/>
      <c r="AJ12" s="221"/>
      <c r="AK12" s="221"/>
      <c r="AL12" s="221"/>
      <c r="AM12" s="221"/>
      <c r="AN12" s="221"/>
      <c r="AO12" s="221"/>
      <c r="AP12" s="221"/>
      <c r="AQ12" s="221"/>
      <c r="AR12" s="52">
        <f t="shared" si="0"/>
        <v>1073000</v>
      </c>
      <c r="AS12" s="233"/>
      <c r="AT12" s="233"/>
      <c r="AU12" s="233"/>
    </row>
    <row r="13" spans="1:73" s="216" customFormat="1">
      <c r="A13" s="219">
        <v>46114</v>
      </c>
      <c r="B13" s="220" t="s">
        <v>241</v>
      </c>
      <c r="C13" s="220">
        <v>7579</v>
      </c>
      <c r="D13" s="220">
        <v>9774</v>
      </c>
      <c r="E13" s="221">
        <v>800000</v>
      </c>
      <c r="F13" s="221"/>
      <c r="G13" s="221"/>
      <c r="H13" s="221"/>
      <c r="I13" s="221"/>
      <c r="J13" s="221"/>
      <c r="K13" s="221"/>
      <c r="L13" s="221"/>
      <c r="M13" s="221"/>
      <c r="N13" s="221"/>
      <c r="O13" s="221"/>
      <c r="P13" s="221"/>
      <c r="Q13" s="221"/>
      <c r="R13" s="221"/>
      <c r="S13" s="221"/>
      <c r="T13" s="221">
        <v>800000</v>
      </c>
      <c r="U13" s="221"/>
      <c r="V13" s="221"/>
      <c r="W13" s="221"/>
      <c r="X13" s="221"/>
      <c r="Y13" s="221"/>
      <c r="Z13" s="221"/>
      <c r="AA13" s="221"/>
      <c r="AB13" s="221"/>
      <c r="AC13" s="221"/>
      <c r="AD13" s="221"/>
      <c r="AE13" s="221"/>
      <c r="AF13" s="221"/>
      <c r="AG13" s="221"/>
      <c r="AH13" s="221"/>
      <c r="AI13" s="221"/>
      <c r="AJ13" s="221"/>
      <c r="AK13" s="221"/>
      <c r="AL13" s="221"/>
      <c r="AM13" s="221"/>
      <c r="AN13" s="221"/>
      <c r="AO13" s="221"/>
      <c r="AP13" s="221"/>
      <c r="AQ13" s="221"/>
      <c r="AR13" s="52">
        <f t="shared" si="0"/>
        <v>800000</v>
      </c>
      <c r="AS13" s="233"/>
      <c r="AT13" s="233"/>
      <c r="AU13" s="233"/>
    </row>
    <row r="14" spans="1:73" s="216" customFormat="1">
      <c r="A14" s="219">
        <v>46114</v>
      </c>
      <c r="B14" s="220" t="s">
        <v>242</v>
      </c>
      <c r="C14" s="220">
        <v>7590</v>
      </c>
      <c r="D14" s="220">
        <v>9797</v>
      </c>
      <c r="E14" s="221">
        <v>200000</v>
      </c>
      <c r="F14" s="221"/>
      <c r="G14" s="221"/>
      <c r="H14" s="221"/>
      <c r="I14" s="221"/>
      <c r="J14" s="221"/>
      <c r="K14" s="221"/>
      <c r="L14" s="221"/>
      <c r="M14" s="221"/>
      <c r="N14" s="221"/>
      <c r="O14" s="221"/>
      <c r="P14" s="221"/>
      <c r="Q14" s="221"/>
      <c r="R14" s="221"/>
      <c r="S14" s="221"/>
      <c r="T14" s="221"/>
      <c r="U14" s="221">
        <v>200000</v>
      </c>
      <c r="V14" s="221"/>
      <c r="W14" s="221"/>
      <c r="X14" s="221"/>
      <c r="Y14" s="221"/>
      <c r="Z14" s="221"/>
      <c r="AA14" s="221"/>
      <c r="AB14" s="221"/>
      <c r="AC14" s="221"/>
      <c r="AD14" s="221"/>
      <c r="AE14" s="221"/>
      <c r="AF14" s="221"/>
      <c r="AG14" s="221"/>
      <c r="AH14" s="221"/>
      <c r="AI14" s="221"/>
      <c r="AJ14" s="221"/>
      <c r="AK14" s="221"/>
      <c r="AL14" s="221"/>
      <c r="AM14" s="221"/>
      <c r="AN14" s="221"/>
      <c r="AO14" s="221"/>
      <c r="AP14" s="221"/>
      <c r="AQ14" s="221"/>
      <c r="AR14" s="52">
        <f t="shared" si="0"/>
        <v>200000</v>
      </c>
      <c r="AS14" s="233"/>
      <c r="AT14" s="233"/>
      <c r="AU14" s="233"/>
    </row>
    <row r="15" spans="1:73" s="216" customFormat="1">
      <c r="A15" s="219">
        <v>46114</v>
      </c>
      <c r="B15" s="220" t="s">
        <v>181</v>
      </c>
      <c r="C15" s="220">
        <v>7591</v>
      </c>
      <c r="D15" s="220">
        <v>9788</v>
      </c>
      <c r="E15" s="221">
        <v>1904000</v>
      </c>
      <c r="F15" s="221"/>
      <c r="G15" s="221"/>
      <c r="H15" s="221"/>
      <c r="I15" s="221"/>
      <c r="J15" s="221"/>
      <c r="K15" s="221"/>
      <c r="L15" s="221"/>
      <c r="M15" s="221"/>
      <c r="N15" s="221"/>
      <c r="O15" s="221"/>
      <c r="P15" s="221"/>
      <c r="Q15" s="221"/>
      <c r="R15" s="221"/>
      <c r="S15" s="221">
        <v>1904000</v>
      </c>
      <c r="T15" s="221"/>
      <c r="U15" s="221"/>
      <c r="V15" s="221"/>
      <c r="W15" s="221"/>
      <c r="X15" s="221"/>
      <c r="Y15" s="221"/>
      <c r="Z15" s="221"/>
      <c r="AA15" s="221"/>
      <c r="AB15" s="221"/>
      <c r="AC15" s="221"/>
      <c r="AD15" s="221"/>
      <c r="AE15" s="221"/>
      <c r="AF15" s="221"/>
      <c r="AG15" s="221"/>
      <c r="AH15" s="221"/>
      <c r="AI15" s="221"/>
      <c r="AJ15" s="221"/>
      <c r="AK15" s="221"/>
      <c r="AL15" s="221"/>
      <c r="AM15" s="221"/>
      <c r="AN15" s="221"/>
      <c r="AO15" s="221"/>
      <c r="AP15" s="221"/>
      <c r="AQ15" s="221"/>
      <c r="AR15" s="52">
        <f t="shared" si="0"/>
        <v>1904000</v>
      </c>
      <c r="AS15" s="233"/>
      <c r="AT15" s="233"/>
      <c r="AU15" s="233"/>
    </row>
    <row r="16" spans="1:73" s="216" customFormat="1">
      <c r="A16" s="219">
        <v>46114</v>
      </c>
      <c r="B16" s="220" t="s">
        <v>243</v>
      </c>
      <c r="C16" s="220">
        <v>7584</v>
      </c>
      <c r="D16" s="220">
        <v>9796</v>
      </c>
      <c r="E16" s="221">
        <v>650000</v>
      </c>
      <c r="F16" s="221"/>
      <c r="G16" s="221"/>
      <c r="H16" s="221"/>
      <c r="I16" s="221"/>
      <c r="J16" s="221"/>
      <c r="K16" s="221"/>
      <c r="L16" s="221"/>
      <c r="M16" s="221"/>
      <c r="N16" s="221"/>
      <c r="O16" s="221"/>
      <c r="P16" s="221"/>
      <c r="Q16" s="221"/>
      <c r="R16" s="221"/>
      <c r="S16" s="221"/>
      <c r="T16" s="221"/>
      <c r="U16" s="221">
        <v>650000</v>
      </c>
      <c r="V16" s="221"/>
      <c r="W16" s="221"/>
      <c r="X16" s="221"/>
      <c r="Y16" s="221"/>
      <c r="Z16" s="221"/>
      <c r="AA16" s="221"/>
      <c r="AB16" s="221"/>
      <c r="AC16" s="221"/>
      <c r="AD16" s="221"/>
      <c r="AE16" s="221"/>
      <c r="AF16" s="221"/>
      <c r="AG16" s="221"/>
      <c r="AH16" s="221"/>
      <c r="AI16" s="221"/>
      <c r="AJ16" s="221"/>
      <c r="AK16" s="221"/>
      <c r="AL16" s="221"/>
      <c r="AM16" s="221"/>
      <c r="AN16" s="221"/>
      <c r="AO16" s="221"/>
      <c r="AP16" s="221"/>
      <c r="AQ16" s="221"/>
      <c r="AR16" s="52">
        <f t="shared" si="0"/>
        <v>650000</v>
      </c>
      <c r="AS16" s="233"/>
      <c r="AT16" s="233"/>
      <c r="AU16" s="233"/>
    </row>
    <row r="17" spans="1:47" s="216" customFormat="1">
      <c r="A17" s="219">
        <v>46114</v>
      </c>
      <c r="B17" s="220" t="s">
        <v>89</v>
      </c>
      <c r="C17" s="220">
        <v>7576</v>
      </c>
      <c r="D17" s="220">
        <v>9758</v>
      </c>
      <c r="E17" s="221">
        <v>2500000</v>
      </c>
      <c r="F17" s="221"/>
      <c r="G17" s="221"/>
      <c r="H17" s="221"/>
      <c r="I17" s="221"/>
      <c r="J17" s="221"/>
      <c r="K17" s="221"/>
      <c r="L17" s="221"/>
      <c r="M17" s="221"/>
      <c r="N17" s="221"/>
      <c r="O17" s="221"/>
      <c r="P17" s="221"/>
      <c r="Q17" s="221"/>
      <c r="R17" s="221"/>
      <c r="S17" s="221"/>
      <c r="T17" s="221"/>
      <c r="U17" s="221"/>
      <c r="V17" s="221">
        <v>2500000</v>
      </c>
      <c r="W17" s="221"/>
      <c r="X17" s="221"/>
      <c r="Y17" s="221"/>
      <c r="Z17" s="221"/>
      <c r="AA17" s="221"/>
      <c r="AB17" s="221"/>
      <c r="AC17" s="221"/>
      <c r="AD17" s="221"/>
      <c r="AE17" s="221"/>
      <c r="AF17" s="221"/>
      <c r="AG17" s="221"/>
      <c r="AH17" s="221"/>
      <c r="AI17" s="221"/>
      <c r="AJ17" s="221"/>
      <c r="AK17" s="221"/>
      <c r="AL17" s="221"/>
      <c r="AM17" s="221"/>
      <c r="AN17" s="221"/>
      <c r="AO17" s="221"/>
      <c r="AP17" s="221"/>
      <c r="AQ17" s="221"/>
      <c r="AR17" s="52">
        <f t="shared" si="0"/>
        <v>2500000</v>
      </c>
      <c r="AS17" s="233"/>
      <c r="AT17" s="233"/>
      <c r="AU17" s="233"/>
    </row>
    <row r="18" spans="1:47" s="216" customFormat="1" ht="22.5">
      <c r="A18" s="219">
        <v>46122</v>
      </c>
      <c r="B18" s="238" t="s">
        <v>244</v>
      </c>
      <c r="C18" s="220">
        <v>9792</v>
      </c>
      <c r="D18" s="220">
        <v>7588</v>
      </c>
      <c r="E18" s="221">
        <v>9628116</v>
      </c>
      <c r="F18" s="221"/>
      <c r="G18" s="221"/>
      <c r="H18" s="221"/>
      <c r="I18" s="221"/>
      <c r="J18" s="221"/>
      <c r="K18" s="221"/>
      <c r="L18" s="221"/>
      <c r="M18" s="221"/>
      <c r="N18" s="221"/>
      <c r="O18" s="221"/>
      <c r="P18" s="221"/>
      <c r="Q18" s="221"/>
      <c r="R18" s="221"/>
      <c r="S18" s="221"/>
      <c r="T18" s="221"/>
      <c r="U18" s="221"/>
      <c r="V18" s="221"/>
      <c r="W18" s="221">
        <v>9628116</v>
      </c>
      <c r="X18" s="221"/>
      <c r="Y18" s="221"/>
      <c r="Z18" s="221"/>
      <c r="AA18" s="221"/>
      <c r="AB18" s="221"/>
      <c r="AC18" s="221"/>
      <c r="AD18" s="221"/>
      <c r="AE18" s="221"/>
      <c r="AF18" s="221"/>
      <c r="AG18" s="221"/>
      <c r="AH18" s="221"/>
      <c r="AI18" s="221"/>
      <c r="AJ18" s="221"/>
      <c r="AK18" s="221"/>
      <c r="AL18" s="221"/>
      <c r="AM18" s="221"/>
      <c r="AN18" s="221"/>
      <c r="AO18" s="221"/>
      <c r="AP18" s="221"/>
      <c r="AQ18" s="221"/>
      <c r="AR18" s="52">
        <f t="shared" si="0"/>
        <v>9628116</v>
      </c>
      <c r="AS18" s="233"/>
      <c r="AT18" s="233"/>
      <c r="AU18" s="233"/>
    </row>
    <row r="19" spans="1:47" s="91" customFormat="1" ht="14.1" customHeight="1">
      <c r="A19" s="100">
        <v>46114</v>
      </c>
      <c r="B19" s="101" t="s">
        <v>94</v>
      </c>
      <c r="C19" s="101">
        <v>7577</v>
      </c>
      <c r="D19" s="101">
        <v>9757</v>
      </c>
      <c r="E19" s="102">
        <v>6500000</v>
      </c>
      <c r="F19" s="102"/>
      <c r="G19" s="102"/>
      <c r="H19" s="102"/>
      <c r="I19" s="102"/>
      <c r="J19" s="102"/>
      <c r="K19" s="102"/>
      <c r="L19" s="102"/>
      <c r="M19" s="102"/>
      <c r="N19" s="102"/>
      <c r="O19" s="102">
        <v>6500000</v>
      </c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52">
        <f t="shared" si="0"/>
        <v>6500000</v>
      </c>
      <c r="AS19" s="103"/>
      <c r="AT19" s="103"/>
      <c r="AU19" s="103"/>
    </row>
    <row r="20" spans="1:47" s="216" customFormat="1" ht="14.1" customHeight="1">
      <c r="A20" s="219">
        <v>46114</v>
      </c>
      <c r="B20" s="220" t="s">
        <v>121</v>
      </c>
      <c r="C20" s="220">
        <v>9709</v>
      </c>
      <c r="D20" s="220">
        <v>7556</v>
      </c>
      <c r="E20" s="221">
        <v>1316000</v>
      </c>
      <c r="F20" s="221">
        <v>84000</v>
      </c>
      <c r="G20" s="221"/>
      <c r="H20" s="221"/>
      <c r="I20" s="221"/>
      <c r="J20" s="221"/>
      <c r="K20" s="221"/>
      <c r="L20" s="221"/>
      <c r="M20" s="221"/>
      <c r="N20" s="221"/>
      <c r="O20" s="221"/>
      <c r="P20" s="221"/>
      <c r="Q20" s="221"/>
      <c r="R20" s="221">
        <v>1316000</v>
      </c>
      <c r="S20" s="221"/>
      <c r="T20" s="221"/>
      <c r="U20" s="221"/>
      <c r="V20" s="221"/>
      <c r="W20" s="221"/>
      <c r="X20" s="221"/>
      <c r="Y20" s="221"/>
      <c r="Z20" s="221"/>
      <c r="AA20" s="221"/>
      <c r="AB20" s="221"/>
      <c r="AC20" s="221"/>
      <c r="AD20" s="221"/>
      <c r="AE20" s="221"/>
      <c r="AF20" s="221"/>
      <c r="AG20" s="221"/>
      <c r="AH20" s="221"/>
      <c r="AI20" s="221"/>
      <c r="AJ20" s="221"/>
      <c r="AK20" s="221"/>
      <c r="AL20" s="221"/>
      <c r="AM20" s="221"/>
      <c r="AN20" s="221"/>
      <c r="AO20" s="221"/>
      <c r="AP20" s="221"/>
      <c r="AQ20" s="221"/>
      <c r="AR20" s="52">
        <f t="shared" si="0"/>
        <v>1400000</v>
      </c>
      <c r="AS20" s="233"/>
      <c r="AT20" s="233"/>
      <c r="AU20" s="233"/>
    </row>
    <row r="21" spans="1:47" s="91" customFormat="1" ht="14.1" customHeight="1">
      <c r="A21" s="100">
        <v>46114</v>
      </c>
      <c r="B21" s="101" t="s">
        <v>237</v>
      </c>
      <c r="C21" s="101">
        <v>7574</v>
      </c>
      <c r="D21" s="101">
        <v>9754</v>
      </c>
      <c r="E21" s="102">
        <v>521000</v>
      </c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>
        <v>521000</v>
      </c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52">
        <f t="shared" si="0"/>
        <v>521000</v>
      </c>
      <c r="AS21" s="103"/>
      <c r="AT21" s="103"/>
      <c r="AU21" s="103"/>
    </row>
    <row r="22" spans="1:47" s="91" customFormat="1" ht="14.1" customHeight="1">
      <c r="A22" s="100">
        <v>46114</v>
      </c>
      <c r="B22" s="101" t="s">
        <v>94</v>
      </c>
      <c r="C22" s="101">
        <v>7570</v>
      </c>
      <c r="D22" s="101">
        <v>9767</v>
      </c>
      <c r="E22" s="102">
        <v>3500000</v>
      </c>
      <c r="F22" s="102"/>
      <c r="G22" s="102"/>
      <c r="H22" s="102"/>
      <c r="I22" s="102"/>
      <c r="J22" s="102"/>
      <c r="K22" s="102"/>
      <c r="L22" s="102"/>
      <c r="M22" s="102"/>
      <c r="N22" s="102"/>
      <c r="O22" s="102">
        <v>3500000</v>
      </c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52">
        <f t="shared" si="0"/>
        <v>3500000</v>
      </c>
      <c r="AS22" s="103"/>
      <c r="AT22" s="103"/>
      <c r="AU22" s="103"/>
    </row>
    <row r="23" spans="1:47" s="216" customFormat="1" ht="27.6" customHeight="1">
      <c r="A23" s="219">
        <v>46114</v>
      </c>
      <c r="B23" s="238" t="s">
        <v>245</v>
      </c>
      <c r="C23" s="220">
        <v>7567</v>
      </c>
      <c r="D23" s="220">
        <v>9769</v>
      </c>
      <c r="E23" s="221">
        <v>2000000</v>
      </c>
      <c r="F23" s="221"/>
      <c r="G23" s="221"/>
      <c r="H23" s="221"/>
      <c r="I23" s="221"/>
      <c r="J23" s="221"/>
      <c r="K23" s="221"/>
      <c r="L23" s="221"/>
      <c r="M23" s="221"/>
      <c r="N23" s="221"/>
      <c r="O23" s="221"/>
      <c r="P23" s="221"/>
      <c r="Q23" s="221"/>
      <c r="R23" s="221"/>
      <c r="S23" s="221"/>
      <c r="T23" s="221"/>
      <c r="U23" s="221"/>
      <c r="V23" s="221"/>
      <c r="W23" s="221"/>
      <c r="X23" s="221">
        <v>2000000</v>
      </c>
      <c r="Y23" s="221"/>
      <c r="Z23" s="221"/>
      <c r="AA23" s="221"/>
      <c r="AB23" s="221"/>
      <c r="AC23" s="221"/>
      <c r="AD23" s="221"/>
      <c r="AE23" s="221"/>
      <c r="AF23" s="221"/>
      <c r="AG23" s="221"/>
      <c r="AH23" s="221"/>
      <c r="AI23" s="221"/>
      <c r="AJ23" s="221"/>
      <c r="AK23" s="221"/>
      <c r="AL23" s="221"/>
      <c r="AM23" s="221"/>
      <c r="AN23" s="221"/>
      <c r="AO23" s="221"/>
      <c r="AP23" s="221"/>
      <c r="AQ23" s="221"/>
      <c r="AR23" s="52">
        <f t="shared" si="0"/>
        <v>2000000</v>
      </c>
      <c r="AS23" s="233"/>
      <c r="AT23" s="233"/>
      <c r="AU23" s="233"/>
    </row>
    <row r="24" spans="1:47" s="216" customFormat="1" ht="27.6" customHeight="1">
      <c r="A24" s="219">
        <v>46122</v>
      </c>
      <c r="B24" s="238" t="s">
        <v>246</v>
      </c>
      <c r="C24" s="220">
        <v>7587</v>
      </c>
      <c r="D24" s="220">
        <v>3217000</v>
      </c>
      <c r="E24" s="221"/>
      <c r="F24" s="221"/>
      <c r="G24" s="221"/>
      <c r="H24" s="221"/>
      <c r="I24" s="221"/>
      <c r="J24" s="221"/>
      <c r="K24" s="221"/>
      <c r="L24" s="221"/>
      <c r="M24" s="221"/>
      <c r="N24" s="221"/>
      <c r="O24" s="221"/>
      <c r="P24" s="221"/>
      <c r="Q24" s="221"/>
      <c r="R24" s="221"/>
      <c r="S24" s="221">
        <v>3217000</v>
      </c>
      <c r="T24" s="221"/>
      <c r="U24" s="221"/>
      <c r="V24" s="221"/>
      <c r="W24" s="221"/>
      <c r="X24" s="221"/>
      <c r="Y24" s="221"/>
      <c r="Z24" s="221"/>
      <c r="AA24" s="221"/>
      <c r="AB24" s="221"/>
      <c r="AC24" s="221"/>
      <c r="AD24" s="221"/>
      <c r="AE24" s="221"/>
      <c r="AF24" s="221"/>
      <c r="AG24" s="221"/>
      <c r="AH24" s="221"/>
      <c r="AI24" s="221"/>
      <c r="AJ24" s="221"/>
      <c r="AK24" s="221"/>
      <c r="AL24" s="221"/>
      <c r="AM24" s="221"/>
      <c r="AN24" s="221"/>
      <c r="AO24" s="221"/>
      <c r="AP24" s="221"/>
      <c r="AQ24" s="221"/>
      <c r="AR24" s="52">
        <f t="shared" si="0"/>
        <v>3217000</v>
      </c>
      <c r="AS24" s="233"/>
      <c r="AT24" s="233"/>
      <c r="AU24" s="233"/>
    </row>
    <row r="25" spans="1:47" s="216" customFormat="1" ht="14.1" customHeight="1">
      <c r="A25" s="219">
        <v>46123</v>
      </c>
      <c r="B25" s="220" t="s">
        <v>247</v>
      </c>
      <c r="C25" s="220">
        <v>7600</v>
      </c>
      <c r="D25" s="220">
        <v>9800</v>
      </c>
      <c r="E25" s="221">
        <v>599000</v>
      </c>
      <c r="F25" s="221"/>
      <c r="G25" s="221"/>
      <c r="H25" s="221"/>
      <c r="I25" s="221"/>
      <c r="J25" s="221"/>
      <c r="K25" s="221"/>
      <c r="L25" s="221"/>
      <c r="M25" s="221"/>
      <c r="N25" s="221"/>
      <c r="O25" s="221"/>
      <c r="P25" s="221"/>
      <c r="Q25" s="221"/>
      <c r="R25" s="221"/>
      <c r="S25" s="221"/>
      <c r="T25" s="221"/>
      <c r="U25" s="221"/>
      <c r="V25" s="221"/>
      <c r="W25" s="221"/>
      <c r="X25" s="221"/>
      <c r="Y25" s="221">
        <v>220000</v>
      </c>
      <c r="Z25" s="221">
        <v>599000</v>
      </c>
      <c r="AA25" s="221"/>
      <c r="AB25" s="221"/>
      <c r="AC25" s="221"/>
      <c r="AD25" s="221"/>
      <c r="AE25" s="221"/>
      <c r="AF25" s="221"/>
      <c r="AG25" s="221"/>
      <c r="AH25" s="221"/>
      <c r="AI25" s="221"/>
      <c r="AJ25" s="221"/>
      <c r="AK25" s="221"/>
      <c r="AL25" s="221"/>
      <c r="AM25" s="221"/>
      <c r="AN25" s="221"/>
      <c r="AO25" s="221"/>
      <c r="AP25" s="221"/>
      <c r="AQ25" s="221"/>
      <c r="AR25" s="52">
        <f t="shared" si="0"/>
        <v>819000</v>
      </c>
      <c r="AS25" s="233"/>
      <c r="AT25" s="233"/>
      <c r="AU25" s="233"/>
    </row>
    <row r="26" spans="1:47" s="216" customFormat="1" ht="14.1" customHeight="1">
      <c r="A26" s="219">
        <v>46125</v>
      </c>
      <c r="B26" s="220" t="s">
        <v>73</v>
      </c>
      <c r="C26" s="220">
        <v>7593</v>
      </c>
      <c r="D26" s="220">
        <v>9727</v>
      </c>
      <c r="E26" s="221">
        <v>15100000</v>
      </c>
      <c r="F26" s="221"/>
      <c r="G26" s="221"/>
      <c r="H26" s="221"/>
      <c r="I26" s="221"/>
      <c r="J26" s="221"/>
      <c r="K26" s="221"/>
      <c r="L26" s="221"/>
      <c r="M26" s="221"/>
      <c r="N26" s="221"/>
      <c r="O26" s="221">
        <f>100000+300000+1360000+1000000</f>
        <v>2760000</v>
      </c>
      <c r="P26" s="221"/>
      <c r="Q26" s="221"/>
      <c r="R26" s="221"/>
      <c r="S26" s="221"/>
      <c r="T26" s="221"/>
      <c r="U26" s="221"/>
      <c r="V26" s="221"/>
      <c r="W26" s="221"/>
      <c r="X26" s="221"/>
      <c r="Y26" s="221"/>
      <c r="Z26" s="221"/>
      <c r="AA26" s="221">
        <f>5980000+3820000</f>
        <v>9800000</v>
      </c>
      <c r="AB26" s="221"/>
      <c r="AC26" s="221">
        <f>2640000</f>
        <v>2640000</v>
      </c>
      <c r="AD26" s="221"/>
      <c r="AE26" s="221"/>
      <c r="AF26" s="221"/>
      <c r="AG26" s="221"/>
      <c r="AH26" s="221"/>
      <c r="AI26" s="221">
        <v>200000</v>
      </c>
      <c r="AJ26" s="221"/>
      <c r="AK26" s="221"/>
      <c r="AL26" s="221"/>
      <c r="AM26" s="221"/>
      <c r="AN26" s="221"/>
      <c r="AO26" s="221"/>
      <c r="AP26" s="221"/>
      <c r="AQ26" s="221"/>
      <c r="AR26" s="52">
        <f t="shared" si="0"/>
        <v>15400000</v>
      </c>
      <c r="AS26" s="233"/>
      <c r="AT26" s="233"/>
      <c r="AU26" s="233"/>
    </row>
    <row r="27" spans="1:47" s="216" customFormat="1" ht="14.1" customHeight="1">
      <c r="A27" s="219">
        <v>46125</v>
      </c>
      <c r="B27" s="220" t="s">
        <v>73</v>
      </c>
      <c r="C27" s="220">
        <v>7592</v>
      </c>
      <c r="D27" s="220">
        <v>10568</v>
      </c>
      <c r="E27" s="221">
        <v>3680000</v>
      </c>
      <c r="F27" s="221"/>
      <c r="G27" s="221"/>
      <c r="H27" s="221">
        <v>1000000</v>
      </c>
      <c r="I27" s="221"/>
      <c r="J27" s="221"/>
      <c r="K27" s="221"/>
      <c r="L27" s="221"/>
      <c r="M27" s="221"/>
      <c r="N27" s="221"/>
      <c r="O27" s="221">
        <v>1700000</v>
      </c>
      <c r="P27" s="221"/>
      <c r="Q27" s="221"/>
      <c r="R27" s="221"/>
      <c r="S27" s="221"/>
      <c r="T27" s="221"/>
      <c r="U27" s="221"/>
      <c r="V27" s="221"/>
      <c r="W27" s="221"/>
      <c r="X27" s="221">
        <v>1890000</v>
      </c>
      <c r="Y27" s="221"/>
      <c r="Z27" s="221"/>
      <c r="AA27" s="221"/>
      <c r="AB27" s="221"/>
      <c r="AC27" s="221"/>
      <c r="AD27" s="221"/>
      <c r="AE27" s="221"/>
      <c r="AF27" s="221"/>
      <c r="AG27" s="221"/>
      <c r="AH27" s="221"/>
      <c r="AI27" s="221"/>
      <c r="AJ27" s="221"/>
      <c r="AK27" s="221"/>
      <c r="AL27" s="221"/>
      <c r="AM27" s="221"/>
      <c r="AN27" s="221"/>
      <c r="AO27" s="221"/>
      <c r="AP27" s="221"/>
      <c r="AQ27" s="221"/>
      <c r="AR27" s="52">
        <f t="shared" si="0"/>
        <v>4590000</v>
      </c>
      <c r="AS27" s="233"/>
      <c r="AT27" s="233"/>
      <c r="AU27" s="233"/>
    </row>
    <row r="28" spans="1:47" s="216" customFormat="1" ht="14.1" customHeight="1">
      <c r="A28" s="219">
        <v>46126</v>
      </c>
      <c r="B28" s="220" t="s">
        <v>99</v>
      </c>
      <c r="C28" s="220">
        <v>7608</v>
      </c>
      <c r="D28" s="220">
        <v>9669</v>
      </c>
      <c r="E28" s="221">
        <v>6170000</v>
      </c>
      <c r="F28" s="221"/>
      <c r="G28" s="221"/>
      <c r="H28" s="221"/>
      <c r="I28" s="221"/>
      <c r="J28" s="221"/>
      <c r="K28" s="221"/>
      <c r="L28" s="221"/>
      <c r="M28" s="221"/>
      <c r="N28" s="221"/>
      <c r="O28" s="221"/>
      <c r="P28" s="221"/>
      <c r="Q28" s="221"/>
      <c r="R28" s="221"/>
      <c r="S28" s="221"/>
      <c r="T28" s="221"/>
      <c r="U28" s="221"/>
      <c r="V28" s="221"/>
      <c r="W28" s="221"/>
      <c r="X28" s="221"/>
      <c r="Y28" s="221"/>
      <c r="Z28" s="221"/>
      <c r="AA28" s="221">
        <v>6170000</v>
      </c>
      <c r="AB28" s="221"/>
      <c r="AC28" s="221"/>
      <c r="AD28" s="221"/>
      <c r="AE28" s="221"/>
      <c r="AF28" s="221"/>
      <c r="AG28" s="221"/>
      <c r="AH28" s="221"/>
      <c r="AI28" s="221"/>
      <c r="AJ28" s="221"/>
      <c r="AK28" s="221"/>
      <c r="AL28" s="221"/>
      <c r="AM28" s="221"/>
      <c r="AN28" s="221"/>
      <c r="AO28" s="221"/>
      <c r="AP28" s="221"/>
      <c r="AQ28" s="221"/>
      <c r="AR28" s="52">
        <f t="shared" si="0"/>
        <v>6170000</v>
      </c>
      <c r="AS28" s="233"/>
      <c r="AT28" s="233"/>
      <c r="AU28" s="233"/>
    </row>
    <row r="29" spans="1:47" s="216" customFormat="1" ht="27.95" customHeight="1">
      <c r="A29" s="219">
        <v>46126</v>
      </c>
      <c r="B29" s="238" t="s">
        <v>248</v>
      </c>
      <c r="C29" s="220">
        <v>7599</v>
      </c>
      <c r="D29" s="220">
        <v>9735</v>
      </c>
      <c r="E29" s="221">
        <v>650000</v>
      </c>
      <c r="F29" s="221"/>
      <c r="G29" s="221"/>
      <c r="H29" s="221"/>
      <c r="I29" s="221"/>
      <c r="J29" s="221"/>
      <c r="K29" s="221"/>
      <c r="L29" s="221"/>
      <c r="M29" s="221"/>
      <c r="N29" s="221"/>
      <c r="O29" s="221"/>
      <c r="P29" s="221"/>
      <c r="Q29" s="221"/>
      <c r="R29" s="221"/>
      <c r="S29" s="221"/>
      <c r="T29" s="221"/>
      <c r="U29" s="221"/>
      <c r="V29" s="221"/>
      <c r="W29" s="221"/>
      <c r="X29" s="221"/>
      <c r="Y29" s="221">
        <v>650000</v>
      </c>
      <c r="Z29" s="221"/>
      <c r="AA29" s="221"/>
      <c r="AB29" s="221"/>
      <c r="AC29" s="221"/>
      <c r="AD29" s="221"/>
      <c r="AE29" s="221"/>
      <c r="AF29" s="221"/>
      <c r="AG29" s="221"/>
      <c r="AH29" s="221"/>
      <c r="AI29" s="221"/>
      <c r="AJ29" s="221"/>
      <c r="AK29" s="221"/>
      <c r="AL29" s="221"/>
      <c r="AM29" s="221"/>
      <c r="AN29" s="221"/>
      <c r="AO29" s="221"/>
      <c r="AP29" s="221"/>
      <c r="AQ29" s="221"/>
      <c r="AR29" s="52">
        <f t="shared" si="0"/>
        <v>650000</v>
      </c>
      <c r="AS29" s="233"/>
      <c r="AT29" s="233"/>
      <c r="AU29" s="233"/>
    </row>
    <row r="30" spans="1:47" s="216" customFormat="1" ht="18.95" customHeight="1">
      <c r="A30" s="219">
        <v>46126</v>
      </c>
      <c r="B30" s="238" t="s">
        <v>249</v>
      </c>
      <c r="C30" s="220">
        <v>7596</v>
      </c>
      <c r="D30" s="220">
        <v>9785</v>
      </c>
      <c r="E30" s="221">
        <v>250000</v>
      </c>
      <c r="F30" s="221"/>
      <c r="G30" s="221"/>
      <c r="H30" s="221"/>
      <c r="I30" s="221"/>
      <c r="J30" s="221"/>
      <c r="K30" s="221"/>
      <c r="L30" s="221"/>
      <c r="M30" s="221"/>
      <c r="N30" s="221"/>
      <c r="O30" s="221">
        <v>250000</v>
      </c>
      <c r="P30" s="221"/>
      <c r="Q30" s="221"/>
      <c r="R30" s="221"/>
      <c r="S30" s="221"/>
      <c r="T30" s="221"/>
      <c r="U30" s="221"/>
      <c r="V30" s="221"/>
      <c r="W30" s="221"/>
      <c r="X30" s="221"/>
      <c r="Y30" s="221"/>
      <c r="Z30" s="221"/>
      <c r="AA30" s="221"/>
      <c r="AB30" s="221"/>
      <c r="AC30" s="221"/>
      <c r="AD30" s="221"/>
      <c r="AE30" s="221"/>
      <c r="AF30" s="221"/>
      <c r="AG30" s="221"/>
      <c r="AH30" s="221"/>
      <c r="AI30" s="221"/>
      <c r="AJ30" s="221"/>
      <c r="AK30" s="221"/>
      <c r="AL30" s="221"/>
      <c r="AM30" s="221"/>
      <c r="AN30" s="221"/>
      <c r="AO30" s="221"/>
      <c r="AP30" s="221"/>
      <c r="AQ30" s="221"/>
      <c r="AR30" s="52">
        <f t="shared" si="0"/>
        <v>250000</v>
      </c>
      <c r="AS30" s="233"/>
      <c r="AT30" s="233"/>
      <c r="AU30" s="233"/>
    </row>
    <row r="31" spans="1:47" s="216" customFormat="1" ht="18.95" customHeight="1">
      <c r="A31" s="219">
        <v>46127</v>
      </c>
      <c r="B31" s="238" t="s">
        <v>73</v>
      </c>
      <c r="C31" s="220">
        <v>7585</v>
      </c>
      <c r="D31" s="220">
        <v>9795</v>
      </c>
      <c r="E31" s="221">
        <v>4154000</v>
      </c>
      <c r="F31" s="221"/>
      <c r="G31" s="221"/>
      <c r="H31" s="221"/>
      <c r="I31" s="221"/>
      <c r="J31" s="221"/>
      <c r="K31" s="221"/>
      <c r="L31" s="221"/>
      <c r="M31" s="221"/>
      <c r="N31" s="221"/>
      <c r="O31" s="221">
        <v>4154000</v>
      </c>
      <c r="P31" s="221"/>
      <c r="Q31" s="221"/>
      <c r="R31" s="221"/>
      <c r="S31" s="221"/>
      <c r="T31" s="221"/>
      <c r="U31" s="221"/>
      <c r="V31" s="221"/>
      <c r="W31" s="221"/>
      <c r="X31" s="221"/>
      <c r="Y31" s="221"/>
      <c r="Z31" s="221"/>
      <c r="AA31" s="221"/>
      <c r="AB31" s="221"/>
      <c r="AC31" s="221"/>
      <c r="AD31" s="221"/>
      <c r="AE31" s="221"/>
      <c r="AF31" s="221"/>
      <c r="AG31" s="221"/>
      <c r="AH31" s="221"/>
      <c r="AI31" s="221"/>
      <c r="AJ31" s="221"/>
      <c r="AK31" s="221"/>
      <c r="AL31" s="221"/>
      <c r="AM31" s="221"/>
      <c r="AN31" s="221"/>
      <c r="AO31" s="221"/>
      <c r="AP31" s="221"/>
      <c r="AQ31" s="221"/>
      <c r="AR31" s="52">
        <f t="shared" si="0"/>
        <v>4154000</v>
      </c>
      <c r="AS31" s="233"/>
      <c r="AT31" s="233"/>
      <c r="AU31" s="233"/>
    </row>
    <row r="32" spans="1:47" s="91" customFormat="1" ht="18.95" customHeight="1">
      <c r="A32" s="100">
        <v>46127</v>
      </c>
      <c r="B32" s="105" t="s">
        <v>250</v>
      </c>
      <c r="C32" s="101">
        <v>7598</v>
      </c>
      <c r="D32" s="101">
        <v>9787</v>
      </c>
      <c r="E32" s="102">
        <v>200000</v>
      </c>
      <c r="F32" s="102"/>
      <c r="G32" s="102"/>
      <c r="H32" s="102"/>
      <c r="I32" s="102"/>
      <c r="J32" s="102"/>
      <c r="K32" s="102"/>
      <c r="L32" s="102"/>
      <c r="M32" s="102"/>
      <c r="N32" s="102"/>
      <c r="O32" s="102">
        <v>200000</v>
      </c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2"/>
      <c r="AQ32" s="102"/>
      <c r="AR32" s="52">
        <f t="shared" si="0"/>
        <v>200000</v>
      </c>
      <c r="AS32" s="103"/>
      <c r="AT32" s="103"/>
      <c r="AU32" s="103"/>
    </row>
    <row r="33" spans="1:47" s="216" customFormat="1" ht="27.6" customHeight="1">
      <c r="A33" s="219">
        <v>46127</v>
      </c>
      <c r="B33" s="238" t="s">
        <v>251</v>
      </c>
      <c r="C33" s="220">
        <v>7597</v>
      </c>
      <c r="D33" s="220">
        <v>9786</v>
      </c>
      <c r="E33" s="221">
        <v>540000</v>
      </c>
      <c r="F33" s="221"/>
      <c r="G33" s="221"/>
      <c r="H33" s="221"/>
      <c r="I33" s="221"/>
      <c r="J33" s="221"/>
      <c r="K33" s="221"/>
      <c r="L33" s="221"/>
      <c r="M33" s="221"/>
      <c r="N33" s="221"/>
      <c r="O33" s="221">
        <v>540000</v>
      </c>
      <c r="P33" s="221"/>
      <c r="Q33" s="221"/>
      <c r="R33" s="221"/>
      <c r="S33" s="221"/>
      <c r="T33" s="221"/>
      <c r="U33" s="221"/>
      <c r="V33" s="221"/>
      <c r="W33" s="221"/>
      <c r="X33" s="221"/>
      <c r="Y33" s="221"/>
      <c r="Z33" s="221"/>
      <c r="AA33" s="221"/>
      <c r="AB33" s="221"/>
      <c r="AC33" s="221"/>
      <c r="AD33" s="221"/>
      <c r="AE33" s="221"/>
      <c r="AF33" s="221"/>
      <c r="AG33" s="221"/>
      <c r="AH33" s="221"/>
      <c r="AI33" s="221"/>
      <c r="AJ33" s="221"/>
      <c r="AK33" s="221"/>
      <c r="AL33" s="221"/>
      <c r="AM33" s="221"/>
      <c r="AN33" s="221"/>
      <c r="AO33" s="221"/>
      <c r="AP33" s="221"/>
      <c r="AQ33" s="221"/>
      <c r="AR33" s="52">
        <f t="shared" si="0"/>
        <v>540000</v>
      </c>
      <c r="AS33" s="233"/>
      <c r="AT33" s="233"/>
      <c r="AU33" s="233"/>
    </row>
    <row r="34" spans="1:47" s="91" customFormat="1" ht="18.95" customHeight="1">
      <c r="A34" s="100">
        <v>46127</v>
      </c>
      <c r="B34" s="105" t="s">
        <v>252</v>
      </c>
      <c r="C34" s="101">
        <v>7594</v>
      </c>
      <c r="D34" s="101">
        <v>9790</v>
      </c>
      <c r="E34" s="102">
        <v>1850000</v>
      </c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>
        <v>1850000</v>
      </c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2"/>
      <c r="AQ34" s="102"/>
      <c r="AR34" s="52">
        <f t="shared" si="0"/>
        <v>1850000</v>
      </c>
      <c r="AS34" s="103"/>
      <c r="AT34" s="103"/>
      <c r="AU34" s="103"/>
    </row>
    <row r="35" spans="1:47" s="216" customFormat="1" ht="18.95" customHeight="1">
      <c r="A35" s="219">
        <v>46127</v>
      </c>
      <c r="B35" s="238" t="s">
        <v>253</v>
      </c>
      <c r="C35" s="220">
        <v>7605</v>
      </c>
      <c r="D35" s="220">
        <v>9742</v>
      </c>
      <c r="E35" s="221">
        <v>600000</v>
      </c>
      <c r="F35" s="221"/>
      <c r="G35" s="221"/>
      <c r="H35" s="221"/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Y35" s="221"/>
      <c r="Z35" s="221"/>
      <c r="AA35" s="221"/>
      <c r="AB35" s="221">
        <v>600000</v>
      </c>
      <c r="AC35" s="221"/>
      <c r="AD35" s="221"/>
      <c r="AE35" s="221"/>
      <c r="AF35" s="221"/>
      <c r="AG35" s="221"/>
      <c r="AH35" s="221"/>
      <c r="AI35" s="221"/>
      <c r="AJ35" s="221"/>
      <c r="AK35" s="221"/>
      <c r="AL35" s="221"/>
      <c r="AM35" s="221"/>
      <c r="AN35" s="221"/>
      <c r="AO35" s="221"/>
      <c r="AP35" s="221"/>
      <c r="AQ35" s="221"/>
      <c r="AR35" s="52">
        <f t="shared" si="0"/>
        <v>600000</v>
      </c>
      <c r="AS35" s="233"/>
      <c r="AT35" s="233"/>
      <c r="AU35" s="233"/>
    </row>
    <row r="36" spans="1:47" s="216" customFormat="1" ht="16.5" customHeight="1">
      <c r="A36" s="219">
        <v>46127</v>
      </c>
      <c r="B36" s="238" t="s">
        <v>176</v>
      </c>
      <c r="C36" s="220">
        <v>7604</v>
      </c>
      <c r="D36" s="220">
        <v>9741</v>
      </c>
      <c r="E36" s="221">
        <v>2880000</v>
      </c>
      <c r="F36" s="221"/>
      <c r="G36" s="221"/>
      <c r="H36" s="221"/>
      <c r="I36" s="221"/>
      <c r="J36" s="221"/>
      <c r="K36" s="221"/>
      <c r="L36" s="221"/>
      <c r="M36" s="221"/>
      <c r="N36" s="221"/>
      <c r="O36" s="221"/>
      <c r="P36" s="221"/>
      <c r="Q36" s="221"/>
      <c r="R36" s="221"/>
      <c r="S36" s="221"/>
      <c r="T36" s="221"/>
      <c r="U36" s="221"/>
      <c r="V36" s="221"/>
      <c r="W36" s="221"/>
      <c r="X36" s="221"/>
      <c r="Y36" s="221"/>
      <c r="Z36" s="221"/>
      <c r="AA36" s="221"/>
      <c r="AB36" s="221"/>
      <c r="AC36" s="221">
        <v>2880000</v>
      </c>
      <c r="AD36" s="221"/>
      <c r="AE36" s="221"/>
      <c r="AF36" s="221"/>
      <c r="AG36" s="221"/>
      <c r="AH36" s="221"/>
      <c r="AI36" s="221"/>
      <c r="AJ36" s="221"/>
      <c r="AK36" s="221"/>
      <c r="AL36" s="221"/>
      <c r="AM36" s="221"/>
      <c r="AN36" s="221"/>
      <c r="AO36" s="221"/>
      <c r="AP36" s="221"/>
      <c r="AQ36" s="221"/>
      <c r="AR36" s="52">
        <f t="shared" si="0"/>
        <v>2880000</v>
      </c>
      <c r="AS36" s="233"/>
      <c r="AT36" s="233"/>
      <c r="AU36" s="233"/>
    </row>
    <row r="37" spans="1:47" ht="16.5" customHeight="1">
      <c r="A37" s="204">
        <v>46128</v>
      </c>
      <c r="B37" s="35" t="s">
        <v>254</v>
      </c>
      <c r="C37" s="188">
        <v>7602</v>
      </c>
      <c r="D37" s="188">
        <v>9740</v>
      </c>
      <c r="E37" s="189">
        <v>1200000</v>
      </c>
      <c r="F37" s="189"/>
      <c r="G37" s="189"/>
      <c r="H37" s="189"/>
      <c r="I37" s="189"/>
      <c r="J37" s="189"/>
      <c r="K37" s="189"/>
      <c r="L37" s="189"/>
      <c r="M37" s="189"/>
      <c r="N37" s="189">
        <v>1200000</v>
      </c>
      <c r="O37" s="189"/>
      <c r="P37" s="189"/>
      <c r="Q37" s="189"/>
      <c r="R37" s="189"/>
      <c r="S37" s="189"/>
      <c r="T37" s="189"/>
      <c r="U37" s="189"/>
      <c r="V37" s="189"/>
      <c r="W37" s="189"/>
      <c r="X37" s="189"/>
      <c r="Y37" s="189"/>
      <c r="Z37" s="189"/>
      <c r="AA37" s="189"/>
      <c r="AB37" s="189"/>
      <c r="AC37" s="189"/>
      <c r="AD37" s="189"/>
      <c r="AE37" s="189"/>
      <c r="AF37" s="189"/>
      <c r="AG37" s="189"/>
      <c r="AH37" s="189"/>
      <c r="AI37" s="189"/>
      <c r="AJ37" s="189"/>
      <c r="AK37" s="189"/>
      <c r="AL37" s="189"/>
      <c r="AM37" s="189"/>
      <c r="AN37" s="189"/>
      <c r="AO37" s="189"/>
      <c r="AP37" s="189"/>
      <c r="AQ37" s="189"/>
      <c r="AR37" s="52">
        <f t="shared" si="0"/>
        <v>1200000</v>
      </c>
    </row>
    <row r="38" spans="1:47" s="91" customFormat="1" ht="16.5" customHeight="1">
      <c r="A38" s="100">
        <v>46128</v>
      </c>
      <c r="B38" s="105" t="s">
        <v>255</v>
      </c>
      <c r="C38" s="101">
        <v>7618</v>
      </c>
      <c r="D38" s="101">
        <v>10581</v>
      </c>
      <c r="E38" s="102">
        <v>160000</v>
      </c>
      <c r="F38" s="102"/>
      <c r="G38" s="102"/>
      <c r="H38" s="102"/>
      <c r="I38" s="102"/>
      <c r="J38" s="102"/>
      <c r="K38" s="102"/>
      <c r="L38" s="102"/>
      <c r="M38" s="102">
        <v>160000</v>
      </c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  <c r="AF38" s="102"/>
      <c r="AG38" s="102"/>
      <c r="AH38" s="102"/>
      <c r="AI38" s="102"/>
      <c r="AJ38" s="102"/>
      <c r="AK38" s="102"/>
      <c r="AL38" s="102"/>
      <c r="AM38" s="102"/>
      <c r="AN38" s="102"/>
      <c r="AO38" s="102"/>
      <c r="AP38" s="102"/>
      <c r="AQ38" s="102"/>
      <c r="AR38" s="52">
        <f t="shared" si="0"/>
        <v>160000</v>
      </c>
      <c r="AS38" s="103"/>
      <c r="AT38" s="103"/>
      <c r="AU38" s="103"/>
    </row>
    <row r="39" spans="1:47" s="91" customFormat="1" ht="16.5" customHeight="1">
      <c r="A39" s="100">
        <v>46128</v>
      </c>
      <c r="B39" s="105" t="s">
        <v>256</v>
      </c>
      <c r="C39" s="101">
        <v>7621</v>
      </c>
      <c r="D39" s="101">
        <v>10585</v>
      </c>
      <c r="E39" s="102">
        <v>1115000</v>
      </c>
      <c r="F39" s="102"/>
      <c r="G39" s="102"/>
      <c r="H39" s="102"/>
      <c r="I39" s="102"/>
      <c r="J39" s="102"/>
      <c r="K39" s="102"/>
      <c r="L39" s="102">
        <v>1115000</v>
      </c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102"/>
      <c r="AI39" s="102"/>
      <c r="AJ39" s="102"/>
      <c r="AK39" s="102"/>
      <c r="AL39" s="102"/>
      <c r="AM39" s="102"/>
      <c r="AN39" s="102"/>
      <c r="AO39" s="102"/>
      <c r="AP39" s="102"/>
      <c r="AQ39" s="102"/>
      <c r="AR39" s="52">
        <f t="shared" si="0"/>
        <v>1115000</v>
      </c>
      <c r="AS39" s="103"/>
      <c r="AT39" s="103"/>
      <c r="AU39" s="103"/>
    </row>
    <row r="40" spans="1:47" s="91" customFormat="1" ht="16.5" customHeight="1">
      <c r="A40" s="100">
        <v>46128</v>
      </c>
      <c r="B40" s="105" t="s">
        <v>196</v>
      </c>
      <c r="C40" s="101">
        <v>7612</v>
      </c>
      <c r="D40" s="101">
        <v>10576</v>
      </c>
      <c r="E40" s="102">
        <v>300000</v>
      </c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>
        <v>300000</v>
      </c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  <c r="AH40" s="102"/>
      <c r="AI40" s="102"/>
      <c r="AJ40" s="102"/>
      <c r="AK40" s="102"/>
      <c r="AL40" s="102"/>
      <c r="AM40" s="102"/>
      <c r="AN40" s="102"/>
      <c r="AO40" s="102"/>
      <c r="AP40" s="102"/>
      <c r="AQ40" s="102"/>
      <c r="AR40" s="52">
        <f t="shared" si="0"/>
        <v>300000</v>
      </c>
      <c r="AS40" s="103"/>
      <c r="AT40" s="103"/>
      <c r="AU40" s="103"/>
    </row>
    <row r="41" spans="1:47" s="91" customFormat="1" ht="16.5" customHeight="1">
      <c r="A41" s="100">
        <v>46129</v>
      </c>
      <c r="B41" s="105" t="s">
        <v>257</v>
      </c>
      <c r="C41" s="101">
        <v>7616</v>
      </c>
      <c r="D41" s="101">
        <v>10582</v>
      </c>
      <c r="E41" s="102">
        <v>350000</v>
      </c>
      <c r="F41" s="102"/>
      <c r="G41" s="102"/>
      <c r="H41" s="102"/>
      <c r="I41" s="102"/>
      <c r="J41" s="102"/>
      <c r="K41" s="102"/>
      <c r="L41" s="102"/>
      <c r="M41" s="102">
        <v>350000</v>
      </c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2"/>
      <c r="AM41" s="102"/>
      <c r="AN41" s="102"/>
      <c r="AO41" s="102"/>
      <c r="AP41" s="102"/>
      <c r="AQ41" s="102"/>
      <c r="AR41" s="52">
        <f t="shared" si="0"/>
        <v>350000</v>
      </c>
      <c r="AS41" s="103"/>
      <c r="AT41" s="103"/>
      <c r="AU41" s="103"/>
    </row>
    <row r="42" spans="1:47" s="91" customFormat="1" ht="18.95" customHeight="1">
      <c r="A42" s="100">
        <v>46129</v>
      </c>
      <c r="B42" s="105" t="s">
        <v>125</v>
      </c>
      <c r="C42" s="101">
        <v>7601</v>
      </c>
      <c r="D42" s="101">
        <v>9728</v>
      </c>
      <c r="E42" s="102">
        <v>607800</v>
      </c>
      <c r="F42" s="102"/>
      <c r="G42" s="102"/>
      <c r="H42" s="102"/>
      <c r="I42" s="102"/>
      <c r="J42" s="102"/>
      <c r="K42" s="102">
        <v>607800</v>
      </c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  <c r="AO42" s="102"/>
      <c r="AP42" s="102"/>
      <c r="AQ42" s="102"/>
      <c r="AR42" s="52">
        <f t="shared" si="0"/>
        <v>607800</v>
      </c>
      <c r="AS42" s="103"/>
      <c r="AT42" s="103"/>
      <c r="AU42" s="103"/>
    </row>
    <row r="43" spans="1:47" s="91" customFormat="1" ht="18.95" customHeight="1">
      <c r="A43" s="100">
        <v>46129</v>
      </c>
      <c r="B43" s="105" t="s">
        <v>73</v>
      </c>
      <c r="C43" s="101">
        <v>7622</v>
      </c>
      <c r="D43" s="101">
        <v>10590</v>
      </c>
      <c r="E43" s="102">
        <v>650000</v>
      </c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>
        <v>650000</v>
      </c>
      <c r="Z43" s="102"/>
      <c r="AA43" s="102"/>
      <c r="AB43" s="102"/>
      <c r="AC43" s="102"/>
      <c r="AD43" s="102"/>
      <c r="AE43" s="102"/>
      <c r="AF43" s="102"/>
      <c r="AG43" s="102"/>
      <c r="AH43" s="102"/>
      <c r="AI43" s="102"/>
      <c r="AJ43" s="102"/>
      <c r="AK43" s="102"/>
      <c r="AL43" s="102"/>
      <c r="AM43" s="102"/>
      <c r="AN43" s="102"/>
      <c r="AO43" s="102"/>
      <c r="AP43" s="102"/>
      <c r="AQ43" s="102"/>
      <c r="AR43" s="52">
        <f t="shared" si="0"/>
        <v>650000</v>
      </c>
      <c r="AS43" s="103"/>
      <c r="AT43" s="103"/>
      <c r="AU43" s="103"/>
    </row>
    <row r="44" spans="1:47" s="91" customFormat="1" ht="18.95" customHeight="1">
      <c r="A44" s="100">
        <v>46129</v>
      </c>
      <c r="B44" s="105" t="s">
        <v>258</v>
      </c>
      <c r="C44" s="101">
        <v>7619</v>
      </c>
      <c r="D44" s="101">
        <v>10583</v>
      </c>
      <c r="E44" s="102">
        <v>1000000</v>
      </c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>
        <v>1000000</v>
      </c>
      <c r="AE44" s="102"/>
      <c r="AF44" s="102"/>
      <c r="AG44" s="102"/>
      <c r="AH44" s="102"/>
      <c r="AI44" s="102"/>
      <c r="AJ44" s="102"/>
      <c r="AK44" s="102"/>
      <c r="AL44" s="102"/>
      <c r="AM44" s="102"/>
      <c r="AN44" s="102"/>
      <c r="AO44" s="102"/>
      <c r="AP44" s="102"/>
      <c r="AQ44" s="102"/>
      <c r="AR44" s="52">
        <f t="shared" si="0"/>
        <v>1000000</v>
      </c>
      <c r="AS44" s="103"/>
      <c r="AT44" s="103"/>
      <c r="AU44" s="103"/>
    </row>
    <row r="45" spans="1:47" s="91" customFormat="1" ht="18.95" customHeight="1">
      <c r="A45" s="100">
        <v>46129</v>
      </c>
      <c r="B45" s="105" t="s">
        <v>175</v>
      </c>
      <c r="C45" s="101">
        <v>7617</v>
      </c>
      <c r="D45" s="101">
        <v>10575</v>
      </c>
      <c r="E45" s="102">
        <v>100000</v>
      </c>
      <c r="F45" s="102"/>
      <c r="G45" s="102"/>
      <c r="H45" s="102"/>
      <c r="I45" s="102"/>
      <c r="J45" s="102"/>
      <c r="K45" s="102"/>
      <c r="L45" s="102"/>
      <c r="M45" s="102"/>
      <c r="N45" s="102"/>
      <c r="O45" s="102">
        <v>100000</v>
      </c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02"/>
      <c r="AH45" s="102"/>
      <c r="AI45" s="102"/>
      <c r="AJ45" s="102"/>
      <c r="AK45" s="102"/>
      <c r="AL45" s="102"/>
      <c r="AM45" s="102"/>
      <c r="AN45" s="102"/>
      <c r="AO45" s="102"/>
      <c r="AP45" s="102"/>
      <c r="AQ45" s="102"/>
      <c r="AR45" s="52">
        <f t="shared" si="0"/>
        <v>100000</v>
      </c>
      <c r="AS45" s="103"/>
      <c r="AT45" s="103"/>
      <c r="AU45" s="103"/>
    </row>
    <row r="46" spans="1:47" s="91" customFormat="1" ht="60" customHeight="1">
      <c r="A46" s="100">
        <v>46129</v>
      </c>
      <c r="B46" s="105" t="s">
        <v>73</v>
      </c>
      <c r="C46" s="101">
        <v>7614</v>
      </c>
      <c r="D46" s="105" t="s">
        <v>259</v>
      </c>
      <c r="E46" s="102">
        <v>8875000</v>
      </c>
      <c r="F46" s="102"/>
      <c r="G46" s="102"/>
      <c r="H46" s="102"/>
      <c r="I46" s="102"/>
      <c r="J46" s="102"/>
      <c r="K46" s="102"/>
      <c r="L46" s="102"/>
      <c r="M46" s="102"/>
      <c r="N46" s="102"/>
      <c r="O46" s="102">
        <f>200000+100000</f>
        <v>300000</v>
      </c>
      <c r="P46" s="102"/>
      <c r="Q46" s="102"/>
      <c r="R46" s="102"/>
      <c r="S46" s="102"/>
      <c r="T46" s="102"/>
      <c r="U46" s="102">
        <f>3840000+3085000</f>
        <v>6925000</v>
      </c>
      <c r="V46" s="102"/>
      <c r="W46" s="102"/>
      <c r="X46" s="102"/>
      <c r="Y46" s="102">
        <v>1650000</v>
      </c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  <c r="AN46" s="102"/>
      <c r="AO46" s="102"/>
      <c r="AP46" s="102"/>
      <c r="AQ46" s="102"/>
      <c r="AR46" s="52">
        <f t="shared" si="0"/>
        <v>8875000</v>
      </c>
      <c r="AS46" s="103"/>
      <c r="AT46" s="103"/>
      <c r="AU46" s="103"/>
    </row>
    <row r="47" spans="1:47" s="91" customFormat="1" ht="33" customHeight="1">
      <c r="A47" s="100">
        <v>46130</v>
      </c>
      <c r="B47" s="105" t="s">
        <v>260</v>
      </c>
      <c r="C47" s="101">
        <v>7609</v>
      </c>
      <c r="D47" s="101">
        <v>10574</v>
      </c>
      <c r="E47" s="102">
        <v>1000000</v>
      </c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>
        <v>1000000</v>
      </c>
      <c r="AE47" s="102"/>
      <c r="AF47" s="102"/>
      <c r="AG47" s="102"/>
      <c r="AH47" s="102"/>
      <c r="AI47" s="102"/>
      <c r="AJ47" s="102"/>
      <c r="AK47" s="102"/>
      <c r="AL47" s="102"/>
      <c r="AM47" s="102"/>
      <c r="AN47" s="102"/>
      <c r="AO47" s="102"/>
      <c r="AP47" s="102"/>
      <c r="AQ47" s="102"/>
      <c r="AR47" s="52">
        <f t="shared" si="0"/>
        <v>1000000</v>
      </c>
      <c r="AS47" s="103"/>
      <c r="AT47" s="103"/>
      <c r="AU47" s="103"/>
    </row>
    <row r="48" spans="1:47" s="91" customFormat="1" ht="18.95" customHeight="1">
      <c r="A48" s="100">
        <v>46132</v>
      </c>
      <c r="B48" s="105" t="s">
        <v>121</v>
      </c>
      <c r="C48" s="101">
        <v>7610</v>
      </c>
      <c r="D48" s="101">
        <v>10571</v>
      </c>
      <c r="E48" s="102">
        <v>1316000</v>
      </c>
      <c r="F48" s="102">
        <v>84000</v>
      </c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>
        <v>1316000</v>
      </c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  <c r="AO48" s="102"/>
      <c r="AP48" s="102"/>
      <c r="AQ48" s="102"/>
      <c r="AR48" s="52">
        <f t="shared" si="0"/>
        <v>1400000</v>
      </c>
      <c r="AS48" s="103"/>
      <c r="AT48" s="103"/>
      <c r="AU48" s="103"/>
    </row>
    <row r="49" spans="1:47" ht="18.95" customHeight="1">
      <c r="A49" s="204">
        <v>46132</v>
      </c>
      <c r="B49" s="35" t="s">
        <v>188</v>
      </c>
      <c r="C49" s="188">
        <v>7615</v>
      </c>
      <c r="D49" s="188">
        <v>10588</v>
      </c>
      <c r="E49" s="189">
        <v>460000</v>
      </c>
      <c r="F49" s="189"/>
      <c r="G49" s="189"/>
      <c r="H49" s="189"/>
      <c r="I49" s="189"/>
      <c r="J49" s="189"/>
      <c r="K49" s="189"/>
      <c r="L49" s="189">
        <v>460000</v>
      </c>
      <c r="M49" s="189"/>
      <c r="N49" s="189"/>
      <c r="O49" s="189"/>
      <c r="P49" s="189"/>
      <c r="Q49" s="189"/>
      <c r="R49" s="189"/>
      <c r="S49" s="189"/>
      <c r="T49" s="189"/>
      <c r="U49" s="189"/>
      <c r="V49" s="189"/>
      <c r="W49" s="189"/>
      <c r="X49" s="189"/>
      <c r="Y49" s="189"/>
      <c r="Z49" s="189"/>
      <c r="AA49" s="189"/>
      <c r="AB49" s="189"/>
      <c r="AC49" s="189"/>
      <c r="AD49" s="189"/>
      <c r="AE49" s="189"/>
      <c r="AF49" s="189"/>
      <c r="AG49" s="189"/>
      <c r="AH49" s="189"/>
      <c r="AI49" s="189"/>
      <c r="AJ49" s="189"/>
      <c r="AK49" s="189"/>
      <c r="AL49" s="189"/>
      <c r="AM49" s="189"/>
      <c r="AN49" s="189"/>
      <c r="AO49" s="189"/>
      <c r="AP49" s="189"/>
      <c r="AQ49" s="189"/>
      <c r="AR49" s="52">
        <f t="shared" si="0"/>
        <v>460000</v>
      </c>
    </row>
    <row r="50" spans="1:47" s="216" customFormat="1" ht="18.95" customHeight="1">
      <c r="A50" s="219">
        <v>46127</v>
      </c>
      <c r="B50" s="238" t="s">
        <v>99</v>
      </c>
      <c r="C50" s="220">
        <v>7606</v>
      </c>
      <c r="D50" s="220">
        <v>9731</v>
      </c>
      <c r="E50" s="221">
        <v>2600000</v>
      </c>
      <c r="F50" s="221"/>
      <c r="G50" s="221"/>
      <c r="H50" s="221"/>
      <c r="I50" s="221"/>
      <c r="J50" s="221"/>
      <c r="K50" s="221"/>
      <c r="L50" s="221"/>
      <c r="M50" s="221"/>
      <c r="N50" s="221"/>
      <c r="O50" s="221"/>
      <c r="P50" s="221"/>
      <c r="Q50" s="221"/>
      <c r="R50" s="221"/>
      <c r="S50" s="221"/>
      <c r="T50" s="221"/>
      <c r="U50" s="221"/>
      <c r="V50" s="221"/>
      <c r="W50" s="221"/>
      <c r="X50" s="221"/>
      <c r="Y50" s="221"/>
      <c r="Z50" s="221"/>
      <c r="AA50" s="221"/>
      <c r="AB50" s="221"/>
      <c r="AC50" s="221"/>
      <c r="AD50" s="221"/>
      <c r="AE50" s="221">
        <v>2600000</v>
      </c>
      <c r="AF50" s="221"/>
      <c r="AG50" s="221"/>
      <c r="AH50" s="221"/>
      <c r="AI50" s="221"/>
      <c r="AJ50" s="221"/>
      <c r="AK50" s="221"/>
      <c r="AL50" s="221"/>
      <c r="AM50" s="221"/>
      <c r="AN50" s="221"/>
      <c r="AO50" s="221"/>
      <c r="AP50" s="221"/>
      <c r="AQ50" s="221"/>
      <c r="AR50" s="52">
        <f t="shared" si="0"/>
        <v>2600000</v>
      </c>
      <c r="AS50" s="233"/>
      <c r="AT50" s="233"/>
      <c r="AU50" s="233"/>
    </row>
    <row r="51" spans="1:47" s="216" customFormat="1" ht="18.95" customHeight="1">
      <c r="A51" s="219">
        <v>46127</v>
      </c>
      <c r="B51" s="238" t="s">
        <v>99</v>
      </c>
      <c r="C51" s="220">
        <v>7607</v>
      </c>
      <c r="D51" s="220">
        <v>9733</v>
      </c>
      <c r="E51" s="221">
        <v>2500000</v>
      </c>
      <c r="F51" s="221"/>
      <c r="G51" s="221"/>
      <c r="H51" s="221"/>
      <c r="I51" s="221"/>
      <c r="J51" s="221"/>
      <c r="K51" s="221"/>
      <c r="L51" s="221"/>
      <c r="M51" s="221"/>
      <c r="N51" s="221"/>
      <c r="O51" s="221"/>
      <c r="P51" s="221"/>
      <c r="Q51" s="221"/>
      <c r="R51" s="221"/>
      <c r="S51" s="221"/>
      <c r="T51" s="221"/>
      <c r="U51" s="221">
        <v>2500000</v>
      </c>
      <c r="V51" s="221"/>
      <c r="W51" s="221"/>
      <c r="X51" s="221"/>
      <c r="Y51" s="221"/>
      <c r="Z51" s="221"/>
      <c r="AA51" s="221"/>
      <c r="AB51" s="221"/>
      <c r="AC51" s="221"/>
      <c r="AD51" s="221"/>
      <c r="AE51" s="221"/>
      <c r="AF51" s="221"/>
      <c r="AG51" s="221"/>
      <c r="AH51" s="221"/>
      <c r="AI51" s="221"/>
      <c r="AJ51" s="221"/>
      <c r="AK51" s="221"/>
      <c r="AL51" s="221"/>
      <c r="AM51" s="221"/>
      <c r="AN51" s="221"/>
      <c r="AO51" s="221"/>
      <c r="AP51" s="221"/>
      <c r="AQ51" s="221"/>
      <c r="AR51" s="52">
        <f t="shared" si="0"/>
        <v>2500000</v>
      </c>
      <c r="AS51" s="233"/>
      <c r="AT51" s="233"/>
      <c r="AU51" s="233"/>
    </row>
    <row r="52" spans="1:47" s="91" customFormat="1" ht="18.95" customHeight="1">
      <c r="A52" s="100">
        <v>46113</v>
      </c>
      <c r="B52" s="105" t="s">
        <v>73</v>
      </c>
      <c r="C52" s="101">
        <v>7569</v>
      </c>
      <c r="D52" s="101">
        <v>9753</v>
      </c>
      <c r="E52" s="102">
        <v>1705000</v>
      </c>
      <c r="F52" s="102"/>
      <c r="G52" s="102"/>
      <c r="H52" s="102"/>
      <c r="I52" s="102"/>
      <c r="J52" s="102"/>
      <c r="K52" s="102"/>
      <c r="L52" s="102"/>
      <c r="M52" s="102">
        <v>550000</v>
      </c>
      <c r="N52" s="102"/>
      <c r="O52" s="102">
        <f>310000+415000+100000</f>
        <v>825000</v>
      </c>
      <c r="P52" s="102"/>
      <c r="Q52" s="102">
        <f>240000+90000</f>
        <v>330000</v>
      </c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  <c r="AH52" s="102"/>
      <c r="AI52" s="102"/>
      <c r="AJ52" s="102"/>
      <c r="AK52" s="102"/>
      <c r="AL52" s="102"/>
      <c r="AM52" s="102"/>
      <c r="AN52" s="102"/>
      <c r="AO52" s="102"/>
      <c r="AP52" s="102"/>
      <c r="AQ52" s="102"/>
      <c r="AR52" s="52">
        <f t="shared" si="0"/>
        <v>1705000</v>
      </c>
      <c r="AS52" s="103"/>
      <c r="AT52" s="103"/>
      <c r="AU52" s="103"/>
    </row>
    <row r="53" spans="1:47" ht="30.6" customHeight="1">
      <c r="A53" s="204">
        <v>46133</v>
      </c>
      <c r="B53" s="35" t="s">
        <v>261</v>
      </c>
      <c r="C53" s="188">
        <v>7573</v>
      </c>
      <c r="D53" s="188">
        <v>9762</v>
      </c>
      <c r="E53" s="189">
        <v>1000000</v>
      </c>
      <c r="F53" s="189"/>
      <c r="G53" s="189"/>
      <c r="H53" s="189"/>
      <c r="I53" s="189"/>
      <c r="J53" s="189"/>
      <c r="K53" s="189"/>
      <c r="L53" s="189"/>
      <c r="M53" s="189"/>
      <c r="N53" s="189"/>
      <c r="O53" s="189"/>
      <c r="P53" s="189"/>
      <c r="Q53" s="189"/>
      <c r="R53" s="189"/>
      <c r="S53" s="189"/>
      <c r="T53" s="189"/>
      <c r="U53" s="189"/>
      <c r="V53" s="189"/>
      <c r="W53" s="189"/>
      <c r="X53" s="189"/>
      <c r="Y53" s="189"/>
      <c r="Z53" s="189"/>
      <c r="AA53" s="189"/>
      <c r="AB53" s="189"/>
      <c r="AC53" s="189"/>
      <c r="AD53" s="189">
        <v>1000000</v>
      </c>
      <c r="AE53" s="189"/>
      <c r="AF53" s="189"/>
      <c r="AG53" s="189"/>
      <c r="AH53" s="189"/>
      <c r="AI53" s="189"/>
      <c r="AJ53" s="189"/>
      <c r="AK53" s="189"/>
      <c r="AL53" s="189"/>
      <c r="AM53" s="189"/>
      <c r="AN53" s="189"/>
      <c r="AO53" s="189"/>
      <c r="AP53" s="189"/>
      <c r="AQ53" s="189"/>
      <c r="AR53" s="52">
        <f t="shared" si="0"/>
        <v>1000000</v>
      </c>
    </row>
    <row r="54" spans="1:47" s="91" customFormat="1" ht="30.6" customHeight="1">
      <c r="A54" s="100">
        <v>46133</v>
      </c>
      <c r="B54" s="105" t="s">
        <v>94</v>
      </c>
      <c r="C54" s="101"/>
      <c r="D54" s="101"/>
      <c r="E54" s="102">
        <v>104718288</v>
      </c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  <c r="AH54" s="102"/>
      <c r="AI54" s="102"/>
      <c r="AJ54" s="102"/>
      <c r="AK54" s="102"/>
      <c r="AL54" s="102"/>
      <c r="AM54" s="102"/>
      <c r="AN54" s="102"/>
      <c r="AO54" s="102"/>
      <c r="AP54" s="102">
        <v>104718288</v>
      </c>
      <c r="AQ54" s="102"/>
      <c r="AR54" s="52">
        <f t="shared" si="0"/>
        <v>104718288</v>
      </c>
      <c r="AS54" s="103"/>
      <c r="AT54" s="103"/>
      <c r="AU54" s="103"/>
    </row>
    <row r="55" spans="1:47" s="91" customFormat="1" ht="18.95" customHeight="1">
      <c r="A55" s="100">
        <v>46134</v>
      </c>
      <c r="B55" s="105" t="s">
        <v>99</v>
      </c>
      <c r="C55" s="101">
        <v>7634</v>
      </c>
      <c r="D55" s="101">
        <v>10595</v>
      </c>
      <c r="E55" s="102">
        <v>200000</v>
      </c>
      <c r="F55" s="102"/>
      <c r="G55" s="102"/>
      <c r="H55" s="102"/>
      <c r="I55" s="102"/>
      <c r="J55" s="102"/>
      <c r="K55" s="102"/>
      <c r="L55" s="102"/>
      <c r="M55" s="102"/>
      <c r="N55" s="102"/>
      <c r="O55" s="102">
        <v>200000</v>
      </c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  <c r="AI55" s="102"/>
      <c r="AJ55" s="102"/>
      <c r="AK55" s="102"/>
      <c r="AL55" s="102"/>
      <c r="AM55" s="102"/>
      <c r="AN55" s="102"/>
      <c r="AO55" s="102"/>
      <c r="AP55" s="102"/>
      <c r="AQ55" s="102"/>
      <c r="AR55" s="52">
        <f t="shared" si="0"/>
        <v>200000</v>
      </c>
      <c r="AS55" s="103"/>
      <c r="AT55" s="103"/>
      <c r="AU55" s="103"/>
    </row>
    <row r="56" spans="1:47" s="91" customFormat="1" ht="18.95" customHeight="1">
      <c r="A56" s="100">
        <v>46135</v>
      </c>
      <c r="B56" s="105" t="s">
        <v>255</v>
      </c>
      <c r="C56" s="101">
        <v>7625</v>
      </c>
      <c r="D56" s="101">
        <v>10599</v>
      </c>
      <c r="E56" s="102">
        <v>500000</v>
      </c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>
        <v>500000</v>
      </c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  <c r="AH56" s="102"/>
      <c r="AI56" s="102"/>
      <c r="AJ56" s="102"/>
      <c r="AK56" s="102"/>
      <c r="AL56" s="102"/>
      <c r="AM56" s="102"/>
      <c r="AN56" s="102"/>
      <c r="AO56" s="102"/>
      <c r="AP56" s="102"/>
      <c r="AQ56" s="102"/>
      <c r="AR56" s="52">
        <f t="shared" si="0"/>
        <v>500000</v>
      </c>
      <c r="AS56" s="103"/>
      <c r="AT56" s="103"/>
      <c r="AU56" s="103"/>
    </row>
    <row r="57" spans="1:47" s="91" customFormat="1" ht="18.95" customHeight="1">
      <c r="A57" s="100">
        <v>46126</v>
      </c>
      <c r="B57" s="105" t="s">
        <v>239</v>
      </c>
      <c r="C57" s="101">
        <v>7595</v>
      </c>
      <c r="D57" s="101">
        <v>9791</v>
      </c>
      <c r="E57" s="102">
        <v>280000</v>
      </c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>
        <v>280000</v>
      </c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102"/>
      <c r="AH57" s="102"/>
      <c r="AI57" s="102"/>
      <c r="AJ57" s="102"/>
      <c r="AK57" s="102"/>
      <c r="AL57" s="102"/>
      <c r="AM57" s="102"/>
      <c r="AN57" s="102"/>
      <c r="AO57" s="102"/>
      <c r="AP57" s="102"/>
      <c r="AQ57" s="102"/>
      <c r="AR57" s="52">
        <f t="shared" si="0"/>
        <v>280000</v>
      </c>
      <c r="AS57" s="103"/>
      <c r="AT57" s="103"/>
      <c r="AU57" s="103"/>
    </row>
    <row r="58" spans="1:47" s="91" customFormat="1" ht="18.95" customHeight="1">
      <c r="A58" s="100">
        <v>46134</v>
      </c>
      <c r="B58" s="105" t="s">
        <v>262</v>
      </c>
      <c r="C58" s="101">
        <v>7635</v>
      </c>
      <c r="D58" s="101">
        <v>9671</v>
      </c>
      <c r="E58" s="102">
        <v>2000000</v>
      </c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>
        <v>2000000</v>
      </c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02"/>
      <c r="AI58" s="102"/>
      <c r="AJ58" s="102"/>
      <c r="AK58" s="102"/>
      <c r="AL58" s="102"/>
      <c r="AM58" s="102"/>
      <c r="AN58" s="102"/>
      <c r="AO58" s="102"/>
      <c r="AP58" s="102"/>
      <c r="AQ58" s="102"/>
      <c r="AR58" s="52">
        <f t="shared" si="0"/>
        <v>2000000</v>
      </c>
      <c r="AS58" s="103"/>
      <c r="AT58" s="103"/>
      <c r="AU58" s="103"/>
    </row>
    <row r="59" spans="1:47" s="91" customFormat="1" ht="18.95" customHeight="1">
      <c r="A59" s="100">
        <v>46135</v>
      </c>
      <c r="B59" s="105" t="s">
        <v>263</v>
      </c>
      <c r="C59" s="101">
        <v>7636</v>
      </c>
      <c r="D59" s="101">
        <v>9673</v>
      </c>
      <c r="E59" s="102">
        <v>1410000</v>
      </c>
      <c r="F59" s="102"/>
      <c r="G59" s="102"/>
      <c r="H59" s="102"/>
      <c r="I59" s="102"/>
      <c r="J59" s="102">
        <v>1410000</v>
      </c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102"/>
      <c r="AH59" s="102"/>
      <c r="AI59" s="102"/>
      <c r="AJ59" s="102"/>
      <c r="AK59" s="102"/>
      <c r="AL59" s="102"/>
      <c r="AM59" s="102"/>
      <c r="AN59" s="102"/>
      <c r="AO59" s="102"/>
      <c r="AP59" s="102"/>
      <c r="AQ59" s="102"/>
      <c r="AR59" s="52">
        <f t="shared" si="0"/>
        <v>1410000</v>
      </c>
      <c r="AS59" s="103"/>
      <c r="AT59" s="103"/>
      <c r="AU59" s="103"/>
    </row>
    <row r="60" spans="1:47" s="91" customFormat="1" ht="18.95" customHeight="1">
      <c r="A60" s="100">
        <v>46137</v>
      </c>
      <c r="B60" s="105" t="s">
        <v>121</v>
      </c>
      <c r="C60" s="101">
        <v>7632</v>
      </c>
      <c r="D60" s="101">
        <v>10570</v>
      </c>
      <c r="E60" s="102">
        <v>1316000</v>
      </c>
      <c r="F60" s="102">
        <v>84000</v>
      </c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>
        <v>1316000</v>
      </c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  <c r="AG60" s="102"/>
      <c r="AH60" s="102"/>
      <c r="AI60" s="102"/>
      <c r="AJ60" s="102"/>
      <c r="AK60" s="102"/>
      <c r="AL60" s="102"/>
      <c r="AM60" s="102"/>
      <c r="AN60" s="102"/>
      <c r="AO60" s="102"/>
      <c r="AP60" s="102"/>
      <c r="AQ60" s="102"/>
      <c r="AR60" s="52">
        <f t="shared" si="0"/>
        <v>1400000</v>
      </c>
      <c r="AS60" s="103"/>
      <c r="AT60" s="103"/>
      <c r="AU60" s="103"/>
    </row>
    <row r="61" spans="1:47" s="91" customFormat="1" ht="18.95" customHeight="1">
      <c r="A61" s="100">
        <v>46137</v>
      </c>
      <c r="B61" s="105" t="s">
        <v>121</v>
      </c>
      <c r="C61" s="101">
        <v>7629</v>
      </c>
      <c r="D61" s="101">
        <v>10572</v>
      </c>
      <c r="E61" s="102">
        <v>1316000</v>
      </c>
      <c r="F61" s="102">
        <v>84000</v>
      </c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>
        <v>1316000</v>
      </c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102"/>
      <c r="AH61" s="102"/>
      <c r="AI61" s="102"/>
      <c r="AJ61" s="102"/>
      <c r="AK61" s="102"/>
      <c r="AL61" s="102"/>
      <c r="AM61" s="102"/>
      <c r="AN61" s="102"/>
      <c r="AO61" s="102"/>
      <c r="AP61" s="102"/>
      <c r="AQ61" s="102"/>
      <c r="AR61" s="52">
        <f t="shared" si="0"/>
        <v>1400000</v>
      </c>
      <c r="AS61" s="103"/>
      <c r="AT61" s="103"/>
      <c r="AU61" s="103"/>
    </row>
    <row r="62" spans="1:47" s="91" customFormat="1" ht="18.95" customHeight="1">
      <c r="A62" s="100">
        <v>46139</v>
      </c>
      <c r="B62" s="105" t="s">
        <v>264</v>
      </c>
      <c r="C62" s="101">
        <v>7641</v>
      </c>
      <c r="D62" s="101">
        <v>10587</v>
      </c>
      <c r="E62" s="102">
        <v>1450000</v>
      </c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>
        <v>610000</v>
      </c>
      <c r="V62" s="102"/>
      <c r="W62" s="102"/>
      <c r="X62" s="102"/>
      <c r="Y62" s="102"/>
      <c r="Z62" s="102"/>
      <c r="AA62" s="102"/>
      <c r="AB62" s="102">
        <v>840000</v>
      </c>
      <c r="AC62" s="102"/>
      <c r="AD62" s="102"/>
      <c r="AE62" s="102"/>
      <c r="AF62" s="102"/>
      <c r="AG62" s="102"/>
      <c r="AH62" s="102"/>
      <c r="AI62" s="102"/>
      <c r="AJ62" s="102"/>
      <c r="AK62" s="102"/>
      <c r="AL62" s="102"/>
      <c r="AM62" s="102"/>
      <c r="AN62" s="102"/>
      <c r="AO62" s="102"/>
      <c r="AP62" s="102"/>
      <c r="AQ62" s="102"/>
      <c r="AR62" s="52">
        <f t="shared" si="0"/>
        <v>1450000</v>
      </c>
      <c r="AS62" s="103"/>
      <c r="AT62" s="103"/>
      <c r="AU62" s="103"/>
    </row>
    <row r="63" spans="1:47" s="91" customFormat="1" ht="18.95" customHeight="1">
      <c r="A63" s="100">
        <v>46139</v>
      </c>
      <c r="B63" s="105" t="s">
        <v>265</v>
      </c>
      <c r="C63" s="101">
        <v>7642</v>
      </c>
      <c r="D63" s="101">
        <v>9853</v>
      </c>
      <c r="E63" s="102">
        <v>800000</v>
      </c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>
        <v>800000</v>
      </c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102"/>
      <c r="AH63" s="102"/>
      <c r="AI63" s="102"/>
      <c r="AJ63" s="102"/>
      <c r="AK63" s="102"/>
      <c r="AL63" s="102"/>
      <c r="AM63" s="102"/>
      <c r="AN63" s="102"/>
      <c r="AO63" s="102"/>
      <c r="AP63" s="102"/>
      <c r="AQ63" s="102"/>
      <c r="AR63" s="52">
        <f t="shared" si="0"/>
        <v>800000</v>
      </c>
      <c r="AS63" s="103"/>
      <c r="AT63" s="103"/>
      <c r="AU63" s="103"/>
    </row>
    <row r="64" spans="1:47" s="91" customFormat="1" ht="18.95" customHeight="1">
      <c r="A64" s="100">
        <v>46139</v>
      </c>
      <c r="B64" s="105" t="s">
        <v>30</v>
      </c>
      <c r="C64" s="101">
        <v>7638</v>
      </c>
      <c r="D64" s="101">
        <v>9858</v>
      </c>
      <c r="E64" s="102">
        <v>1435000</v>
      </c>
      <c r="F64" s="102"/>
      <c r="G64" s="102"/>
      <c r="H64" s="102">
        <v>535000</v>
      </c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>
        <f>620000+280000</f>
        <v>900000</v>
      </c>
      <c r="V64" s="102"/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  <c r="AG64" s="102"/>
      <c r="AH64" s="102"/>
      <c r="AI64" s="102"/>
      <c r="AJ64" s="102"/>
      <c r="AK64" s="102"/>
      <c r="AL64" s="102"/>
      <c r="AM64" s="102"/>
      <c r="AN64" s="102"/>
      <c r="AO64" s="102"/>
      <c r="AP64" s="102"/>
      <c r="AQ64" s="102"/>
      <c r="AR64" s="52">
        <f t="shared" si="0"/>
        <v>1435000</v>
      </c>
      <c r="AS64" s="103"/>
      <c r="AT64" s="103"/>
      <c r="AU64" s="103"/>
    </row>
    <row r="65" spans="1:47" s="91" customFormat="1" ht="18.95" customHeight="1">
      <c r="A65" s="100">
        <v>46139</v>
      </c>
      <c r="B65" s="105" t="s">
        <v>99</v>
      </c>
      <c r="C65" s="101">
        <v>7644</v>
      </c>
      <c r="D65" s="101">
        <v>9672</v>
      </c>
      <c r="E65" s="102">
        <v>3410000</v>
      </c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>
        <v>3410000</v>
      </c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  <c r="AG65" s="102"/>
      <c r="AH65" s="102"/>
      <c r="AI65" s="102"/>
      <c r="AJ65" s="102"/>
      <c r="AK65" s="102"/>
      <c r="AL65" s="102"/>
      <c r="AM65" s="102"/>
      <c r="AN65" s="102"/>
      <c r="AO65" s="102"/>
      <c r="AP65" s="102"/>
      <c r="AQ65" s="102"/>
      <c r="AR65" s="52">
        <f t="shared" si="0"/>
        <v>3410000</v>
      </c>
      <c r="AS65" s="103"/>
      <c r="AT65" s="103"/>
      <c r="AU65" s="103"/>
    </row>
    <row r="66" spans="1:47" s="91" customFormat="1" ht="18.95" customHeight="1">
      <c r="A66" s="100">
        <v>46139</v>
      </c>
      <c r="B66" s="105" t="s">
        <v>266</v>
      </c>
      <c r="C66" s="101">
        <v>7630</v>
      </c>
      <c r="D66" s="101">
        <v>10594</v>
      </c>
      <c r="E66" s="102">
        <v>2500000</v>
      </c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>
        <v>2500000</v>
      </c>
      <c r="AG66" s="102"/>
      <c r="AH66" s="102"/>
      <c r="AI66" s="102"/>
      <c r="AJ66" s="102"/>
      <c r="AK66" s="102"/>
      <c r="AL66" s="102"/>
      <c r="AM66" s="102"/>
      <c r="AN66" s="102"/>
      <c r="AO66" s="102"/>
      <c r="AP66" s="102"/>
      <c r="AQ66" s="102"/>
      <c r="AR66" s="52">
        <f t="shared" si="0"/>
        <v>2500000</v>
      </c>
      <c r="AS66" s="103"/>
      <c r="AT66" s="103"/>
      <c r="AU66" s="103"/>
    </row>
    <row r="67" spans="1:47" s="91" customFormat="1" ht="18.95" customHeight="1">
      <c r="A67" s="100">
        <v>46139</v>
      </c>
      <c r="B67" s="105" t="s">
        <v>89</v>
      </c>
      <c r="C67" s="101">
        <v>7643</v>
      </c>
      <c r="D67" s="101">
        <v>9856</v>
      </c>
      <c r="E67" s="102">
        <v>2500000</v>
      </c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>
        <v>2500000</v>
      </c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102"/>
      <c r="AH67" s="102"/>
      <c r="AI67" s="102"/>
      <c r="AJ67" s="102"/>
      <c r="AK67" s="102"/>
      <c r="AL67" s="102"/>
      <c r="AM67" s="102"/>
      <c r="AN67" s="102"/>
      <c r="AO67" s="102"/>
      <c r="AP67" s="102"/>
      <c r="AQ67" s="102"/>
      <c r="AR67" s="52">
        <f t="shared" si="0"/>
        <v>2500000</v>
      </c>
      <c r="AS67" s="103"/>
      <c r="AT67" s="103"/>
      <c r="AU67" s="103"/>
    </row>
    <row r="68" spans="1:47" s="91" customFormat="1" ht="18.95" customHeight="1">
      <c r="A68" s="100">
        <v>46139</v>
      </c>
      <c r="B68" s="105" t="s">
        <v>94</v>
      </c>
      <c r="C68" s="101">
        <v>7637</v>
      </c>
      <c r="D68" s="101">
        <v>9853</v>
      </c>
      <c r="E68" s="102">
        <v>107472790</v>
      </c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>
        <v>107472790</v>
      </c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  <c r="AG68" s="102"/>
      <c r="AH68" s="102"/>
      <c r="AI68" s="102"/>
      <c r="AJ68" s="102"/>
      <c r="AK68" s="102"/>
      <c r="AL68" s="102"/>
      <c r="AM68" s="102"/>
      <c r="AN68" s="102"/>
      <c r="AO68" s="102"/>
      <c r="AP68" s="102"/>
      <c r="AQ68" s="102"/>
      <c r="AR68" s="52">
        <f t="shared" si="0"/>
        <v>107472790</v>
      </c>
      <c r="AS68" s="103"/>
      <c r="AT68" s="103"/>
      <c r="AU68" s="103"/>
    </row>
    <row r="69" spans="1:47" s="40" customFormat="1" ht="18.95" customHeight="1">
      <c r="A69" s="53">
        <v>46141</v>
      </c>
      <c r="B69" s="50" t="s">
        <v>180</v>
      </c>
      <c r="C69" s="54">
        <v>7620</v>
      </c>
      <c r="D69" s="54">
        <v>10580</v>
      </c>
      <c r="E69" s="55">
        <v>2450000</v>
      </c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>
        <v>2450000</v>
      </c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2">
        <f t="shared" ref="AR69:AR81" si="1">F69+G69+H69+I69+J69+K69+L69+M69+N69+O69+P69+Q69+R69+S69+T69+U69+V69+W69+X69+Y69+Z69+AA69+AB69+AC69+AD69+AE69+AF69+AG69+AH69+AI69+AJ69+AK69+AL69+AM69+AN69+AO69+AP69+AQ69</f>
        <v>2450000</v>
      </c>
      <c r="AS69" s="56"/>
      <c r="AT69" s="56"/>
      <c r="AU69" s="56"/>
    </row>
    <row r="70" spans="1:47" s="228" customFormat="1" ht="18.95" customHeight="1">
      <c r="A70" s="239">
        <v>46140</v>
      </c>
      <c r="B70" s="240" t="s">
        <v>267</v>
      </c>
      <c r="C70" s="241">
        <v>7646</v>
      </c>
      <c r="D70" s="241">
        <v>9860</v>
      </c>
      <c r="E70" s="242">
        <v>805000</v>
      </c>
      <c r="F70" s="242"/>
      <c r="G70" s="242"/>
      <c r="H70" s="242"/>
      <c r="I70" s="242"/>
      <c r="J70" s="242"/>
      <c r="K70" s="242"/>
      <c r="L70" s="242"/>
      <c r="M70" s="242"/>
      <c r="N70" s="242"/>
      <c r="O70" s="242"/>
      <c r="P70" s="242"/>
      <c r="Q70" s="242"/>
      <c r="R70" s="242"/>
      <c r="S70" s="242"/>
      <c r="T70" s="242"/>
      <c r="U70" s="242"/>
      <c r="V70" s="242"/>
      <c r="W70" s="242"/>
      <c r="X70" s="242"/>
      <c r="Y70" s="242"/>
      <c r="Z70" s="242"/>
      <c r="AA70" s="242"/>
      <c r="AB70" s="242"/>
      <c r="AC70" s="242"/>
      <c r="AD70" s="242"/>
      <c r="AE70" s="242"/>
      <c r="AF70" s="242"/>
      <c r="AG70" s="242"/>
      <c r="AH70" s="242">
        <v>805000</v>
      </c>
      <c r="AI70" s="242"/>
      <c r="AJ70" s="242"/>
      <c r="AK70" s="242"/>
      <c r="AL70" s="242"/>
      <c r="AM70" s="242"/>
      <c r="AN70" s="242"/>
      <c r="AO70" s="242"/>
      <c r="AP70" s="242"/>
      <c r="AQ70" s="242"/>
      <c r="AR70" s="52">
        <f t="shared" si="1"/>
        <v>805000</v>
      </c>
      <c r="AS70" s="243"/>
      <c r="AT70" s="243"/>
      <c r="AU70" s="243"/>
    </row>
    <row r="71" spans="1:47" s="228" customFormat="1" ht="18.95" customHeight="1">
      <c r="A71" s="239">
        <v>46140</v>
      </c>
      <c r="B71" s="240" t="s">
        <v>239</v>
      </c>
      <c r="C71" s="241">
        <v>7633</v>
      </c>
      <c r="D71" s="241"/>
      <c r="E71" s="242">
        <v>280000</v>
      </c>
      <c r="F71" s="242"/>
      <c r="G71" s="242"/>
      <c r="H71" s="242"/>
      <c r="I71" s="242"/>
      <c r="J71" s="242"/>
      <c r="K71" s="242"/>
      <c r="L71" s="242"/>
      <c r="M71" s="242"/>
      <c r="N71" s="242"/>
      <c r="O71" s="242"/>
      <c r="P71" s="242"/>
      <c r="Q71" s="242"/>
      <c r="R71" s="242"/>
      <c r="S71" s="242"/>
      <c r="T71" s="242"/>
      <c r="U71" s="242"/>
      <c r="V71" s="242"/>
      <c r="W71" s="242"/>
      <c r="X71" s="242"/>
      <c r="Y71" s="242"/>
      <c r="Z71" s="242">
        <v>280000</v>
      </c>
      <c r="AA71" s="242"/>
      <c r="AB71" s="242"/>
      <c r="AC71" s="242"/>
      <c r="AD71" s="242"/>
      <c r="AE71" s="242"/>
      <c r="AF71" s="242"/>
      <c r="AG71" s="242"/>
      <c r="AH71" s="242"/>
      <c r="AI71" s="242"/>
      <c r="AJ71" s="242"/>
      <c r="AK71" s="242"/>
      <c r="AL71" s="242"/>
      <c r="AM71" s="242"/>
      <c r="AN71" s="242"/>
      <c r="AO71" s="242"/>
      <c r="AP71" s="242"/>
      <c r="AQ71" s="242"/>
      <c r="AR71" s="52">
        <f t="shared" si="1"/>
        <v>280000</v>
      </c>
      <c r="AS71" s="243"/>
      <c r="AT71" s="243"/>
      <c r="AU71" s="243"/>
    </row>
    <row r="72" spans="1:47" s="91" customFormat="1" ht="18.95" customHeight="1">
      <c r="A72" s="100">
        <v>46140</v>
      </c>
      <c r="B72" s="105" t="s">
        <v>94</v>
      </c>
      <c r="C72" s="101">
        <v>7640</v>
      </c>
      <c r="D72" s="101">
        <v>9857</v>
      </c>
      <c r="E72" s="102">
        <v>6500000</v>
      </c>
      <c r="F72" s="102"/>
      <c r="G72" s="102"/>
      <c r="H72" s="102"/>
      <c r="I72" s="102"/>
      <c r="J72" s="102"/>
      <c r="K72" s="102"/>
      <c r="L72" s="102"/>
      <c r="M72" s="102"/>
      <c r="N72" s="102"/>
      <c r="O72" s="102">
        <v>6500000</v>
      </c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  <c r="AD72" s="102"/>
      <c r="AE72" s="102"/>
      <c r="AF72" s="102"/>
      <c r="AG72" s="102"/>
      <c r="AH72" s="102"/>
      <c r="AI72" s="102"/>
      <c r="AJ72" s="102"/>
      <c r="AK72" s="102"/>
      <c r="AL72" s="102"/>
      <c r="AM72" s="102"/>
      <c r="AN72" s="102"/>
      <c r="AO72" s="102"/>
      <c r="AP72" s="102"/>
      <c r="AQ72" s="102"/>
      <c r="AR72" s="52">
        <f t="shared" si="1"/>
        <v>6500000</v>
      </c>
      <c r="AS72" s="103"/>
      <c r="AT72" s="103"/>
      <c r="AU72" s="103"/>
    </row>
    <row r="73" spans="1:47" s="91" customFormat="1" ht="18.95" customHeight="1">
      <c r="A73" s="100">
        <v>46141</v>
      </c>
      <c r="B73" s="105" t="s">
        <v>126</v>
      </c>
      <c r="C73" s="101">
        <v>7626</v>
      </c>
      <c r="D73" s="101">
        <v>10597</v>
      </c>
      <c r="E73" s="102">
        <v>3834410</v>
      </c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>
        <v>3834410</v>
      </c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2"/>
      <c r="AE73" s="102"/>
      <c r="AF73" s="102"/>
      <c r="AG73" s="102"/>
      <c r="AH73" s="102"/>
      <c r="AI73" s="102"/>
      <c r="AJ73" s="102"/>
      <c r="AK73" s="102"/>
      <c r="AL73" s="102"/>
      <c r="AM73" s="102"/>
      <c r="AN73" s="102"/>
      <c r="AO73" s="102"/>
      <c r="AP73" s="102"/>
      <c r="AQ73" s="102"/>
      <c r="AR73" s="52">
        <f t="shared" si="1"/>
        <v>3834410</v>
      </c>
      <c r="AS73" s="103"/>
      <c r="AT73" s="103"/>
      <c r="AU73" s="103"/>
    </row>
    <row r="74" spans="1:47" s="91" customFormat="1" ht="18.95" customHeight="1">
      <c r="A74" s="100">
        <v>46141</v>
      </c>
      <c r="B74" s="105" t="s">
        <v>73</v>
      </c>
      <c r="C74" s="101">
        <v>7652</v>
      </c>
      <c r="D74" s="101">
        <v>10578</v>
      </c>
      <c r="E74" s="102">
        <v>1262500</v>
      </c>
      <c r="F74" s="102"/>
      <c r="G74" s="102"/>
      <c r="H74" s="102"/>
      <c r="I74" s="102"/>
      <c r="J74" s="102"/>
      <c r="K74" s="102"/>
      <c r="L74" s="102"/>
      <c r="M74" s="102"/>
      <c r="N74" s="102"/>
      <c r="O74" s="102">
        <f>800000+100000</f>
        <v>900000</v>
      </c>
      <c r="P74" s="102">
        <f>120000+42500</f>
        <v>162500</v>
      </c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  <c r="AE74" s="102"/>
      <c r="AF74" s="102"/>
      <c r="AG74" s="102"/>
      <c r="AH74" s="102"/>
      <c r="AI74" s="102">
        <v>200000</v>
      </c>
      <c r="AJ74" s="102"/>
      <c r="AK74" s="102"/>
      <c r="AL74" s="102"/>
      <c r="AM74" s="102"/>
      <c r="AN74" s="102"/>
      <c r="AO74" s="102"/>
      <c r="AP74" s="102"/>
      <c r="AQ74" s="102"/>
      <c r="AR74" s="52">
        <f t="shared" si="1"/>
        <v>1262500</v>
      </c>
      <c r="AS74" s="103"/>
      <c r="AT74" s="103"/>
      <c r="AU74" s="103"/>
    </row>
    <row r="75" spans="1:47" s="91" customFormat="1" ht="18.95" customHeight="1">
      <c r="A75" s="100">
        <v>46141</v>
      </c>
      <c r="B75" s="105" t="s">
        <v>128</v>
      </c>
      <c r="C75" s="101">
        <v>7624</v>
      </c>
      <c r="D75" s="101">
        <v>10596</v>
      </c>
      <c r="E75" s="102">
        <v>3880500</v>
      </c>
      <c r="F75" s="102"/>
      <c r="G75" s="102">
        <v>3880500</v>
      </c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  <c r="AC75" s="102"/>
      <c r="AD75" s="102"/>
      <c r="AE75" s="102"/>
      <c r="AF75" s="102"/>
      <c r="AG75" s="102"/>
      <c r="AH75" s="102"/>
      <c r="AI75" s="102"/>
      <c r="AJ75" s="102">
        <v>0</v>
      </c>
      <c r="AK75" s="102"/>
      <c r="AL75" s="102"/>
      <c r="AM75" s="102"/>
      <c r="AN75" s="102"/>
      <c r="AO75" s="102"/>
      <c r="AP75" s="102"/>
      <c r="AQ75" s="102"/>
      <c r="AR75" s="52">
        <f t="shared" si="1"/>
        <v>3880500</v>
      </c>
      <c r="AS75" s="103"/>
      <c r="AT75" s="103"/>
      <c r="AU75" s="103"/>
    </row>
    <row r="76" spans="1:47" s="91" customFormat="1" ht="18.95" customHeight="1">
      <c r="A76" s="100">
        <v>46141</v>
      </c>
      <c r="B76" s="105" t="s">
        <v>25</v>
      </c>
      <c r="C76" s="101">
        <v>7653</v>
      </c>
      <c r="D76" s="101">
        <v>9872</v>
      </c>
      <c r="E76" s="102">
        <v>12250000</v>
      </c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  <c r="AC76" s="102"/>
      <c r="AD76" s="102"/>
      <c r="AE76" s="102"/>
      <c r="AF76" s="102"/>
      <c r="AG76" s="102"/>
      <c r="AH76" s="102"/>
      <c r="AI76" s="102"/>
      <c r="AJ76" s="102"/>
      <c r="AK76" s="102">
        <v>12250000</v>
      </c>
      <c r="AL76" s="102"/>
      <c r="AM76" s="102"/>
      <c r="AN76" s="102"/>
      <c r="AO76" s="102"/>
      <c r="AP76" s="102"/>
      <c r="AQ76" s="102"/>
      <c r="AR76" s="52">
        <f t="shared" si="1"/>
        <v>12250000</v>
      </c>
      <c r="AS76" s="103"/>
      <c r="AT76" s="103"/>
      <c r="AU76" s="103"/>
    </row>
    <row r="77" spans="1:47" s="91" customFormat="1" ht="18.95" customHeight="1">
      <c r="A77" s="100">
        <v>46141</v>
      </c>
      <c r="B77" s="105" t="s">
        <v>105</v>
      </c>
      <c r="C77" s="101">
        <v>7658</v>
      </c>
      <c r="D77" s="101">
        <v>9867</v>
      </c>
      <c r="E77" s="102">
        <v>600000</v>
      </c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>
        <v>600000</v>
      </c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  <c r="AD77" s="102"/>
      <c r="AE77" s="102"/>
      <c r="AF77" s="102"/>
      <c r="AG77" s="102"/>
      <c r="AH77" s="102"/>
      <c r="AI77" s="102"/>
      <c r="AJ77" s="102"/>
      <c r="AK77" s="102"/>
      <c r="AL77" s="102"/>
      <c r="AM77" s="102"/>
      <c r="AN77" s="102"/>
      <c r="AO77" s="102"/>
      <c r="AP77" s="102"/>
      <c r="AQ77" s="102"/>
      <c r="AR77" s="52">
        <f t="shared" si="1"/>
        <v>600000</v>
      </c>
      <c r="AS77" s="103"/>
      <c r="AT77" s="103"/>
      <c r="AU77" s="103"/>
    </row>
    <row r="78" spans="1:47">
      <c r="AR78" s="52">
        <f t="shared" si="1"/>
        <v>0</v>
      </c>
    </row>
    <row r="79" spans="1:47" s="91" customFormat="1" ht="18.95" customHeight="1">
      <c r="A79" s="100">
        <v>46141</v>
      </c>
      <c r="B79" s="105" t="s">
        <v>25</v>
      </c>
      <c r="C79" s="101">
        <v>7654</v>
      </c>
      <c r="D79" s="101">
        <v>9874</v>
      </c>
      <c r="E79" s="102">
        <v>500000</v>
      </c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>
        <v>500000</v>
      </c>
      <c r="Z79" s="102"/>
      <c r="AA79" s="102"/>
      <c r="AB79" s="102"/>
      <c r="AC79" s="102"/>
      <c r="AD79" s="102"/>
      <c r="AE79" s="102"/>
      <c r="AF79" s="102"/>
      <c r="AG79" s="102"/>
      <c r="AH79" s="102"/>
      <c r="AI79" s="102"/>
      <c r="AJ79" s="102"/>
      <c r="AK79" s="102"/>
      <c r="AL79" s="102"/>
      <c r="AM79" s="102"/>
      <c r="AN79" s="102"/>
      <c r="AO79" s="102"/>
      <c r="AP79" s="102"/>
      <c r="AQ79" s="102"/>
      <c r="AR79" s="52">
        <f t="shared" si="1"/>
        <v>500000</v>
      </c>
      <c r="AS79" s="103"/>
      <c r="AT79" s="103"/>
      <c r="AU79" s="103"/>
    </row>
    <row r="80" spans="1:47" s="91" customFormat="1" ht="18.95" customHeight="1">
      <c r="A80" s="100">
        <v>46142</v>
      </c>
      <c r="B80" s="105" t="s">
        <v>268</v>
      </c>
      <c r="C80" s="101">
        <v>7657</v>
      </c>
      <c r="D80" s="101">
        <v>9877</v>
      </c>
      <c r="E80" s="102">
        <v>200000</v>
      </c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>
        <v>200000</v>
      </c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  <c r="AH80" s="102"/>
      <c r="AI80" s="102"/>
      <c r="AJ80" s="102"/>
      <c r="AK80" s="102"/>
      <c r="AL80" s="102"/>
      <c r="AM80" s="102"/>
      <c r="AN80" s="102"/>
      <c r="AO80" s="102"/>
      <c r="AP80" s="102"/>
      <c r="AQ80" s="102"/>
      <c r="AR80" s="52">
        <f t="shared" si="1"/>
        <v>200000</v>
      </c>
      <c r="AS80" s="103"/>
      <c r="AT80" s="103"/>
      <c r="AU80" s="103"/>
    </row>
    <row r="81" spans="1:76" s="91" customFormat="1" ht="18.95" customHeight="1">
      <c r="A81" s="100">
        <v>46142</v>
      </c>
      <c r="B81" s="105" t="s">
        <v>237</v>
      </c>
      <c r="C81" s="101">
        <v>7655</v>
      </c>
      <c r="D81" s="101">
        <v>9878</v>
      </c>
      <c r="E81" s="102">
        <v>1114500</v>
      </c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2"/>
      <c r="AG81" s="102"/>
      <c r="AH81" s="102"/>
      <c r="AI81" s="102"/>
      <c r="AJ81" s="102"/>
      <c r="AK81" s="102"/>
      <c r="AL81" s="102">
        <v>1114500</v>
      </c>
      <c r="AM81" s="102"/>
      <c r="AN81" s="102"/>
      <c r="AO81" s="102"/>
      <c r="AP81" s="102"/>
      <c r="AQ81" s="102"/>
      <c r="AR81" s="52">
        <f t="shared" si="1"/>
        <v>1114500</v>
      </c>
      <c r="AS81" s="103"/>
      <c r="AT81" s="103"/>
      <c r="AU81" s="103"/>
    </row>
    <row r="82" spans="1:76" ht="14.25">
      <c r="A82" s="204"/>
      <c r="B82" s="76" t="s">
        <v>5</v>
      </c>
      <c r="C82" s="188"/>
      <c r="D82" s="188"/>
      <c r="E82" s="189">
        <f>SUM(E4:E81)</f>
        <v>491350194</v>
      </c>
      <c r="F82" s="189">
        <f t="shared" ref="F82:AQ82" si="2">SUM(F4:F81)</f>
        <v>336000</v>
      </c>
      <c r="G82" s="189">
        <f t="shared" si="2"/>
        <v>3880500</v>
      </c>
      <c r="H82" s="189">
        <f t="shared" si="2"/>
        <v>1535000</v>
      </c>
      <c r="I82" s="189">
        <f t="shared" si="2"/>
        <v>6599500</v>
      </c>
      <c r="J82" s="189">
        <f t="shared" si="2"/>
        <v>1410000</v>
      </c>
      <c r="K82" s="189">
        <f t="shared" si="2"/>
        <v>607800</v>
      </c>
      <c r="L82" s="189">
        <f t="shared" si="2"/>
        <v>1575000</v>
      </c>
      <c r="M82" s="189">
        <f t="shared" si="2"/>
        <v>1060000</v>
      </c>
      <c r="N82" s="189">
        <f t="shared" si="2"/>
        <v>1200000</v>
      </c>
      <c r="O82" s="189">
        <f t="shared" si="2"/>
        <v>29129000</v>
      </c>
      <c r="P82" s="189">
        <f t="shared" si="2"/>
        <v>1083500</v>
      </c>
      <c r="Q82" s="189">
        <f t="shared" si="2"/>
        <v>229963990</v>
      </c>
      <c r="R82" s="189">
        <f t="shared" si="2"/>
        <v>5844000</v>
      </c>
      <c r="S82" s="189">
        <f t="shared" si="2"/>
        <v>9563000</v>
      </c>
      <c r="T82" s="189">
        <f t="shared" si="2"/>
        <v>800000</v>
      </c>
      <c r="U82" s="189">
        <f t="shared" si="2"/>
        <v>12585000</v>
      </c>
      <c r="V82" s="189">
        <f t="shared" si="2"/>
        <v>5000000</v>
      </c>
      <c r="W82" s="189">
        <f t="shared" si="2"/>
        <v>9628116</v>
      </c>
      <c r="X82" s="189">
        <f t="shared" si="2"/>
        <v>3890000</v>
      </c>
      <c r="Y82" s="189">
        <f t="shared" si="2"/>
        <v>5520000</v>
      </c>
      <c r="Z82" s="189">
        <f t="shared" si="2"/>
        <v>1029000</v>
      </c>
      <c r="AA82" s="189">
        <f t="shared" si="2"/>
        <v>15970000</v>
      </c>
      <c r="AB82" s="189">
        <f t="shared" si="2"/>
        <v>1440000</v>
      </c>
      <c r="AC82" s="189">
        <f t="shared" si="2"/>
        <v>5520000</v>
      </c>
      <c r="AD82" s="189">
        <f t="shared" si="2"/>
        <v>3000000</v>
      </c>
      <c r="AE82" s="189">
        <f t="shared" si="2"/>
        <v>2600000</v>
      </c>
      <c r="AF82" s="189">
        <f t="shared" si="2"/>
        <v>2500000</v>
      </c>
      <c r="AG82" s="189">
        <f t="shared" si="2"/>
        <v>2450000</v>
      </c>
      <c r="AH82" s="189">
        <f t="shared" si="2"/>
        <v>805000</v>
      </c>
      <c r="AI82" s="189">
        <f t="shared" si="2"/>
        <v>400000</v>
      </c>
      <c r="AJ82" s="189">
        <f t="shared" si="2"/>
        <v>0</v>
      </c>
      <c r="AK82" s="189">
        <f t="shared" si="2"/>
        <v>12250000</v>
      </c>
      <c r="AL82" s="189">
        <f t="shared" si="2"/>
        <v>1114500</v>
      </c>
      <c r="AM82" s="189">
        <f t="shared" si="2"/>
        <v>0</v>
      </c>
      <c r="AN82" s="189">
        <f t="shared" si="2"/>
        <v>5000000</v>
      </c>
      <c r="AO82" s="189">
        <f t="shared" si="2"/>
        <v>5766000</v>
      </c>
      <c r="AP82" s="189">
        <f t="shared" si="2"/>
        <v>104718288</v>
      </c>
      <c r="AQ82" s="189">
        <f t="shared" si="2"/>
        <v>560000</v>
      </c>
      <c r="AR82" s="189">
        <f>SUM(AR7:AR81)</f>
        <v>485598694</v>
      </c>
      <c r="AS82" s="190">
        <f t="shared" ref="AS82:BX82" si="3">SUM(AS7:AS19)</f>
        <v>0</v>
      </c>
      <c r="AT82" s="190">
        <f t="shared" si="3"/>
        <v>0</v>
      </c>
      <c r="AU82" s="190">
        <f t="shared" si="3"/>
        <v>0</v>
      </c>
      <c r="AV82" s="190">
        <f t="shared" si="3"/>
        <v>0</v>
      </c>
      <c r="AW82" s="190">
        <f t="shared" si="3"/>
        <v>0</v>
      </c>
      <c r="AX82" s="190">
        <f t="shared" si="3"/>
        <v>0</v>
      </c>
      <c r="AY82" s="190">
        <f t="shared" si="3"/>
        <v>0</v>
      </c>
      <c r="AZ82" s="190">
        <f t="shared" si="3"/>
        <v>0</v>
      </c>
      <c r="BA82" s="190">
        <f t="shared" si="3"/>
        <v>0</v>
      </c>
      <c r="BB82" s="190">
        <f t="shared" si="3"/>
        <v>0</v>
      </c>
      <c r="BC82" s="190">
        <f t="shared" si="3"/>
        <v>0</v>
      </c>
      <c r="BD82" s="190">
        <f t="shared" si="3"/>
        <v>0</v>
      </c>
      <c r="BE82" s="190">
        <f t="shared" si="3"/>
        <v>0</v>
      </c>
      <c r="BF82" s="190">
        <f t="shared" si="3"/>
        <v>0</v>
      </c>
      <c r="BG82" s="190">
        <f t="shared" si="3"/>
        <v>0</v>
      </c>
      <c r="BH82" s="190">
        <f t="shared" si="3"/>
        <v>0</v>
      </c>
      <c r="BI82" s="190">
        <f t="shared" si="3"/>
        <v>0</v>
      </c>
      <c r="BJ82" s="190">
        <f t="shared" si="3"/>
        <v>0</v>
      </c>
      <c r="BK82" s="190">
        <f t="shared" si="3"/>
        <v>0</v>
      </c>
      <c r="BL82" s="190">
        <f t="shared" si="3"/>
        <v>0</v>
      </c>
      <c r="BM82" s="190">
        <f t="shared" si="3"/>
        <v>0</v>
      </c>
      <c r="BN82" s="190">
        <f t="shared" si="3"/>
        <v>0</v>
      </c>
      <c r="BO82" s="190">
        <f t="shared" si="3"/>
        <v>0</v>
      </c>
      <c r="BP82" s="190">
        <f t="shared" si="3"/>
        <v>0</v>
      </c>
      <c r="BQ82" s="190">
        <f t="shared" si="3"/>
        <v>0</v>
      </c>
      <c r="BR82" s="190">
        <f t="shared" si="3"/>
        <v>0</v>
      </c>
      <c r="BS82" s="190">
        <f t="shared" si="3"/>
        <v>0</v>
      </c>
      <c r="BT82" s="190">
        <f t="shared" si="3"/>
        <v>0</v>
      </c>
      <c r="BU82" s="190">
        <f t="shared" si="3"/>
        <v>0</v>
      </c>
      <c r="BV82" s="190">
        <f t="shared" si="3"/>
        <v>0</v>
      </c>
      <c r="BW82" s="190">
        <f t="shared" si="3"/>
        <v>0</v>
      </c>
      <c r="BX82" s="190">
        <f t="shared" si="3"/>
        <v>0</v>
      </c>
    </row>
    <row r="83" spans="1:76">
      <c r="A83" s="188"/>
      <c r="B83" s="188"/>
      <c r="C83" s="188"/>
      <c r="D83" s="188"/>
      <c r="E83" s="189"/>
      <c r="F83" s="189"/>
      <c r="G83" s="189"/>
      <c r="H83" s="189"/>
      <c r="I83" s="189"/>
      <c r="J83" s="189"/>
      <c r="K83" s="189"/>
      <c r="L83" s="189"/>
      <c r="M83" s="189"/>
      <c r="N83" s="189"/>
      <c r="O83" s="189"/>
      <c r="P83" s="189"/>
      <c r="Q83" s="189"/>
      <c r="R83" s="189"/>
      <c r="S83" s="189"/>
      <c r="T83" s="189"/>
      <c r="U83" s="189"/>
      <c r="V83" s="189"/>
      <c r="W83" s="189"/>
      <c r="X83" s="189"/>
      <c r="Y83" s="189"/>
      <c r="Z83" s="189"/>
      <c r="AA83" s="189"/>
      <c r="AB83" s="189"/>
      <c r="AC83" s="189"/>
      <c r="AD83" s="189"/>
      <c r="AE83" s="189"/>
      <c r="AF83" s="189"/>
      <c r="AG83" s="189"/>
      <c r="AH83" s="189"/>
      <c r="AI83" s="189"/>
      <c r="AJ83" s="189"/>
      <c r="AK83" s="189"/>
      <c r="AL83" s="189"/>
      <c r="AM83" s="189"/>
      <c r="AN83" s="189"/>
      <c r="AO83" s="189"/>
      <c r="AP83" s="189"/>
      <c r="AQ83" s="189"/>
      <c r="AR83" s="189"/>
    </row>
    <row r="84" spans="1:76">
      <c r="A84" s="188"/>
      <c r="B84" s="188"/>
      <c r="C84" s="188"/>
      <c r="D84" s="188"/>
      <c r="E84" s="189"/>
      <c r="F84" s="189"/>
      <c r="G84" s="189"/>
      <c r="H84" s="189"/>
      <c r="I84" s="189"/>
      <c r="J84" s="189"/>
      <c r="K84" s="189"/>
      <c r="L84" s="189"/>
      <c r="M84" s="189"/>
      <c r="N84" s="189"/>
      <c r="O84" s="189"/>
      <c r="P84" s="189"/>
      <c r="Q84" s="189"/>
      <c r="R84" s="189"/>
      <c r="S84" s="189"/>
      <c r="T84" s="189"/>
      <c r="U84" s="189"/>
      <c r="V84" s="189"/>
      <c r="W84" s="189"/>
      <c r="X84" s="189"/>
      <c r="Y84" s="189"/>
      <c r="Z84" s="189"/>
      <c r="AA84" s="189"/>
      <c r="AB84" s="189"/>
      <c r="AC84" s="189"/>
      <c r="AD84" s="189"/>
      <c r="AE84" s="189"/>
      <c r="AF84" s="189"/>
      <c r="AG84" s="189"/>
      <c r="AH84" s="189"/>
      <c r="AI84" s="189"/>
      <c r="AJ84" s="189"/>
      <c r="AK84" s="189"/>
      <c r="AL84" s="189"/>
      <c r="AM84" s="189"/>
      <c r="AN84" s="189"/>
      <c r="AO84" s="189"/>
      <c r="AP84" s="189"/>
      <c r="AQ84" s="189"/>
      <c r="AR84" s="189"/>
    </row>
  </sheetData>
  <autoFilter ref="F3:AQ3"/>
  <mergeCells count="1">
    <mergeCell ref="B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B239"/>
  <sheetViews>
    <sheetView topLeftCell="A4" workbookViewId="0">
      <pane ySplit="3" topLeftCell="A7" activePane="bottomLeft" state="frozen"/>
      <selection pane="bottomLeft" activeCell="B7" sqref="B7:B65"/>
    </sheetView>
  </sheetViews>
  <sheetFormatPr defaultColWidth="8.7109375" defaultRowHeight="11.25"/>
  <cols>
    <col min="1" max="1" width="11.5703125" style="163" customWidth="1"/>
    <col min="2" max="2" width="24.28515625" style="163" customWidth="1"/>
    <col min="3" max="4" width="8.85546875" style="163" customWidth="1"/>
    <col min="5" max="15" width="11.140625" style="190" customWidth="1"/>
    <col min="16" max="16" width="11" style="190" customWidth="1"/>
    <col min="17" max="17" width="9.85546875" style="190" customWidth="1"/>
    <col min="18" max="18" width="11.140625" style="190" customWidth="1"/>
    <col min="19" max="19" width="10.28515625" style="190" customWidth="1"/>
    <col min="20" max="20" width="8.7109375" style="190"/>
    <col min="21" max="21" width="10.5703125" style="190" customWidth="1"/>
    <col min="22" max="22" width="11" style="190" customWidth="1"/>
    <col min="23" max="23" width="9.42578125" style="190" customWidth="1"/>
    <col min="24" max="24" width="8.7109375" style="190"/>
    <col min="25" max="25" width="9.42578125" style="190" customWidth="1"/>
    <col min="26" max="26" width="8.7109375" style="190"/>
    <col min="27" max="33" width="9.42578125" style="190" customWidth="1"/>
    <col min="34" max="34" width="10.5703125" style="190" customWidth="1"/>
    <col min="35" max="36" width="9.42578125" style="190" customWidth="1"/>
    <col min="37" max="44" width="10.42578125" style="190" customWidth="1"/>
    <col min="45" max="49" width="11.5703125" style="190" customWidth="1"/>
    <col min="50" max="50" width="12.140625" style="190" customWidth="1"/>
    <col min="51" max="51" width="8.7109375" style="190"/>
    <col min="52" max="16384" width="8.7109375" style="163"/>
  </cols>
  <sheetData>
    <row r="3" spans="1:54">
      <c r="B3" s="218">
        <v>46143</v>
      </c>
    </row>
    <row r="4" spans="1:54">
      <c r="B4" s="218"/>
    </row>
    <row r="5" spans="1:54" ht="21" customHeight="1">
      <c r="B5" s="334" t="s">
        <v>269</v>
      </c>
      <c r="C5" s="334"/>
      <c r="D5" s="334"/>
      <c r="E5" s="329"/>
      <c r="F5" s="329"/>
      <c r="G5"/>
      <c r="H5"/>
      <c r="I5"/>
      <c r="J5"/>
      <c r="K5"/>
      <c r="L5"/>
    </row>
    <row r="6" spans="1:54" s="37" customFormat="1" ht="55.5" customHeight="1">
      <c r="A6" s="23" t="s">
        <v>1</v>
      </c>
      <c r="B6" s="23" t="s">
        <v>2</v>
      </c>
      <c r="C6" s="24" t="s">
        <v>3</v>
      </c>
      <c r="D6" s="23" t="s">
        <v>4</v>
      </c>
      <c r="E6" s="25" t="s">
        <v>5</v>
      </c>
      <c r="F6" s="25" t="s">
        <v>37</v>
      </c>
      <c r="G6" s="25" t="s">
        <v>66</v>
      </c>
      <c r="H6" s="25" t="s">
        <v>17</v>
      </c>
      <c r="I6" s="25" t="s">
        <v>9</v>
      </c>
      <c r="J6" s="25" t="s">
        <v>270</v>
      </c>
      <c r="K6" s="25" t="s">
        <v>271</v>
      </c>
      <c r="L6" s="25" t="s">
        <v>135</v>
      </c>
      <c r="M6" s="25" t="s">
        <v>46</v>
      </c>
      <c r="N6" s="25" t="s">
        <v>68</v>
      </c>
      <c r="O6" s="25" t="s">
        <v>44</v>
      </c>
      <c r="P6" s="25" t="s">
        <v>58</v>
      </c>
      <c r="Q6" s="25" t="s">
        <v>15</v>
      </c>
      <c r="R6" s="25" t="s">
        <v>14</v>
      </c>
      <c r="S6" s="25" t="s">
        <v>272</v>
      </c>
      <c r="T6" s="25" t="s">
        <v>273</v>
      </c>
      <c r="U6" s="25" t="s">
        <v>12</v>
      </c>
      <c r="V6" s="25" t="s">
        <v>274</v>
      </c>
      <c r="W6" s="25" t="s">
        <v>18</v>
      </c>
      <c r="X6" s="25" t="s">
        <v>275</v>
      </c>
      <c r="Y6" s="25" t="s">
        <v>276</v>
      </c>
      <c r="Z6" s="25" t="s">
        <v>230</v>
      </c>
      <c r="AA6" s="25" t="s">
        <v>277</v>
      </c>
      <c r="AB6" s="25" t="s">
        <v>142</v>
      </c>
      <c r="AC6" s="25" t="s">
        <v>48</v>
      </c>
      <c r="AD6" s="25" t="s">
        <v>278</v>
      </c>
      <c r="AE6" s="25" t="s">
        <v>52</v>
      </c>
      <c r="AF6" s="25" t="s">
        <v>279</v>
      </c>
      <c r="AG6" s="25" t="s">
        <v>161</v>
      </c>
      <c r="AH6" s="23" t="s">
        <v>280</v>
      </c>
      <c r="AI6" s="25" t="s">
        <v>281</v>
      </c>
      <c r="AJ6" s="25" t="s">
        <v>282</v>
      </c>
      <c r="AK6" s="25" t="s">
        <v>39</v>
      </c>
      <c r="AL6" s="25" t="s">
        <v>51</v>
      </c>
      <c r="AM6" s="25" t="s">
        <v>283</v>
      </c>
      <c r="AN6" s="25" t="s">
        <v>284</v>
      </c>
      <c r="AO6" s="25" t="s">
        <v>285</v>
      </c>
      <c r="AP6" s="25" t="s">
        <v>16</v>
      </c>
      <c r="AQ6" s="25" t="s">
        <v>217</v>
      </c>
      <c r="AR6" s="25" t="s">
        <v>231</v>
      </c>
      <c r="AS6" s="25" t="s">
        <v>226</v>
      </c>
      <c r="AT6" s="25" t="s">
        <v>286</v>
      </c>
      <c r="AU6" s="25" t="s">
        <v>275</v>
      </c>
      <c r="AV6" s="25" t="s">
        <v>147</v>
      </c>
      <c r="AW6" s="25" t="s">
        <v>158</v>
      </c>
      <c r="AX6" s="25" t="s">
        <v>5</v>
      </c>
      <c r="AY6" s="25"/>
    </row>
    <row r="7" spans="1:54" s="40" customFormat="1" ht="18.95" customHeight="1">
      <c r="A7" s="53">
        <v>46147</v>
      </c>
      <c r="B7" s="50" t="s">
        <v>287</v>
      </c>
      <c r="C7" s="54">
        <v>7650</v>
      </c>
      <c r="D7" s="54">
        <v>9863</v>
      </c>
      <c r="E7" s="55">
        <v>250000</v>
      </c>
      <c r="F7" s="55"/>
      <c r="G7" s="55"/>
      <c r="H7" s="55"/>
      <c r="I7" s="55"/>
      <c r="J7" s="55"/>
      <c r="K7" s="55"/>
      <c r="L7" s="55"/>
      <c r="M7" s="55"/>
      <c r="N7" s="55"/>
      <c r="O7" s="55"/>
      <c r="P7" s="55">
        <v>0</v>
      </c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>
        <v>250000</v>
      </c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>
        <f>F7+G7+H7+I7+J7+K7+L7+M7+N7+O7+P7+Q7+R7+S7+T7+U7+V7+W7+X7+Y7+Z7+AA7+AB7+AC7+AD7+AE7+AF7+AG7+AH7+AI7+AJ7+AK7+AL7+AM7+AN7+AO7+AP7+AQ7+AR7+AS7+AT7+AU7+AV7+AW7</f>
        <v>250000</v>
      </c>
      <c r="AY7" s="55"/>
      <c r="AZ7" s="56"/>
      <c r="BA7" s="56"/>
      <c r="BB7" s="56"/>
    </row>
    <row r="8" spans="1:54" s="40" customFormat="1" ht="19.5" customHeight="1">
      <c r="A8" s="53">
        <v>46147</v>
      </c>
      <c r="B8" s="50" t="s">
        <v>74</v>
      </c>
      <c r="C8" s="54">
        <v>7651</v>
      </c>
      <c r="D8" s="54">
        <v>9869</v>
      </c>
      <c r="E8" s="55">
        <v>150000</v>
      </c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>
        <v>150000</v>
      </c>
      <c r="W8" s="55"/>
      <c r="X8" s="55"/>
      <c r="Y8" s="55"/>
      <c r="Z8" s="55"/>
      <c r="AA8" s="55"/>
      <c r="AB8" s="55"/>
      <c r="AC8" s="55"/>
      <c r="AD8" s="55"/>
      <c r="AE8" s="55"/>
      <c r="AF8" s="55">
        <v>0</v>
      </c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>
        <f t="shared" ref="AX8:AX71" si="0">F8+G8+H8+I8+J8+K8+L8+M8+N8+O8+P8+Q8+R8+S8+T8+U8+V8+W8+X8+Y8+Z8+AA8+AB8+AC8+AD8+AE8+AF8+AG8+AH8+AI8+AJ8+AK8+AL8+AM8+AN8+AO8+AP8+AQ8+AR8+AS8+AT8+AU8+AV8+AW8</f>
        <v>150000</v>
      </c>
      <c r="AY8" s="55"/>
      <c r="AZ8" s="56"/>
      <c r="BA8" s="56"/>
      <c r="BB8" s="56"/>
    </row>
    <row r="9" spans="1:54" s="40" customFormat="1" ht="14.1" customHeight="1">
      <c r="A9" s="53">
        <v>46147</v>
      </c>
      <c r="B9" s="54" t="s">
        <v>74</v>
      </c>
      <c r="C9" s="54">
        <v>7645</v>
      </c>
      <c r="D9" s="54">
        <v>9859</v>
      </c>
      <c r="E9" s="55">
        <v>800000</v>
      </c>
      <c r="F9" s="55"/>
      <c r="G9" s="55"/>
      <c r="H9" s="55"/>
      <c r="I9" s="55"/>
      <c r="J9" s="55"/>
      <c r="K9" s="55"/>
      <c r="L9" s="55"/>
      <c r="M9" s="55"/>
      <c r="N9" s="55"/>
      <c r="O9" s="55">
        <v>0</v>
      </c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>
        <v>800000</v>
      </c>
      <c r="AR9" s="55"/>
      <c r="AS9" s="55"/>
      <c r="AT9" s="55"/>
      <c r="AU9" s="55"/>
      <c r="AV9" s="55"/>
      <c r="AW9" s="55"/>
      <c r="AX9" s="55">
        <f t="shared" si="0"/>
        <v>800000</v>
      </c>
      <c r="AY9" s="55"/>
      <c r="AZ9" s="56"/>
      <c r="BA9" s="56"/>
      <c r="BB9" s="56"/>
    </row>
    <row r="10" spans="1:54" s="40" customFormat="1" ht="18.95" customHeight="1">
      <c r="A10" s="53">
        <v>46147</v>
      </c>
      <c r="B10" s="50" t="s">
        <v>288</v>
      </c>
      <c r="C10" s="54">
        <v>7647</v>
      </c>
      <c r="D10" s="54">
        <v>9870</v>
      </c>
      <c r="E10" s="55">
        <v>4298620</v>
      </c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>
        <v>4298620</v>
      </c>
      <c r="AS10" s="55"/>
      <c r="AT10" s="55"/>
      <c r="AU10" s="55"/>
      <c r="AV10" s="55"/>
      <c r="AW10" s="55"/>
      <c r="AX10" s="55">
        <f t="shared" si="0"/>
        <v>4298620</v>
      </c>
      <c r="AY10" s="55"/>
      <c r="AZ10" s="56"/>
      <c r="BA10" s="56"/>
    </row>
    <row r="11" spans="1:54" s="40" customFormat="1" ht="14.1" customHeight="1">
      <c r="A11" s="53">
        <v>46147</v>
      </c>
      <c r="B11" s="54" t="s">
        <v>94</v>
      </c>
      <c r="C11" s="54">
        <v>7666</v>
      </c>
      <c r="D11" s="54"/>
      <c r="E11" s="55">
        <v>1500000</v>
      </c>
      <c r="F11" s="55"/>
      <c r="G11" s="55"/>
      <c r="H11" s="55"/>
      <c r="I11" s="55"/>
      <c r="J11" s="55"/>
      <c r="K11" s="55"/>
      <c r="L11" s="55"/>
      <c r="M11" s="55">
        <v>1500000</v>
      </c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>
        <f t="shared" si="0"/>
        <v>1500000</v>
      </c>
      <c r="AY11" s="55"/>
      <c r="AZ11" s="56"/>
      <c r="BA11" s="56"/>
      <c r="BB11" s="56"/>
    </row>
    <row r="12" spans="1:54" s="40" customFormat="1" ht="14.1" customHeight="1">
      <c r="A12" s="53">
        <v>46148</v>
      </c>
      <c r="B12" s="54" t="s">
        <v>94</v>
      </c>
      <c r="C12" s="54">
        <v>7670</v>
      </c>
      <c r="D12" s="54"/>
      <c r="E12" s="55">
        <v>3500000</v>
      </c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>
        <v>3500000</v>
      </c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>
        <f t="shared" si="0"/>
        <v>3500000</v>
      </c>
      <c r="AY12" s="55"/>
      <c r="AZ12" s="56"/>
      <c r="BA12" s="56"/>
      <c r="BB12" s="56"/>
    </row>
    <row r="13" spans="1:54" s="40" customFormat="1" ht="14.1" customHeight="1">
      <c r="A13" s="53">
        <v>46148</v>
      </c>
      <c r="B13" s="54" t="s">
        <v>99</v>
      </c>
      <c r="C13" s="54">
        <v>7662</v>
      </c>
      <c r="D13" s="54"/>
      <c r="E13" s="55">
        <v>2000000</v>
      </c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>
        <v>2000000</v>
      </c>
      <c r="AT13" s="55"/>
      <c r="AU13" s="55"/>
      <c r="AV13" s="55"/>
      <c r="AW13" s="55"/>
      <c r="AX13" s="55">
        <f t="shared" si="0"/>
        <v>2000000</v>
      </c>
      <c r="AY13" s="55"/>
      <c r="AZ13" s="56"/>
      <c r="BA13" s="56"/>
      <c r="BB13" s="56"/>
    </row>
    <row r="14" spans="1:54" s="40" customFormat="1" ht="14.1" customHeight="1">
      <c r="A14" s="53">
        <v>46148</v>
      </c>
      <c r="B14" s="54" t="s">
        <v>73</v>
      </c>
      <c r="C14" s="54">
        <v>7663</v>
      </c>
      <c r="D14" s="54"/>
      <c r="E14" s="55">
        <v>6458000</v>
      </c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>
        <v>6458000</v>
      </c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>
        <f t="shared" si="0"/>
        <v>6458000</v>
      </c>
      <c r="AY14" s="55"/>
      <c r="AZ14" s="56"/>
      <c r="BA14" s="56"/>
      <c r="BB14" s="56"/>
    </row>
    <row r="15" spans="1:54" s="40" customFormat="1" ht="14.1" customHeight="1">
      <c r="A15" s="53">
        <v>46149</v>
      </c>
      <c r="B15" s="54" t="s">
        <v>30</v>
      </c>
      <c r="C15" s="54">
        <v>7679</v>
      </c>
      <c r="D15" s="54"/>
      <c r="E15" s="55">
        <v>14398000</v>
      </c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>
        <v>14398000</v>
      </c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>
        <f t="shared" si="0"/>
        <v>14398000</v>
      </c>
      <c r="AY15" s="55"/>
      <c r="AZ15" s="56"/>
      <c r="BA15" s="56"/>
      <c r="BB15" s="56"/>
    </row>
    <row r="16" spans="1:54" s="40" customFormat="1" ht="14.1" customHeight="1">
      <c r="A16" s="53">
        <v>46119</v>
      </c>
      <c r="B16" s="54" t="s">
        <v>30</v>
      </c>
      <c r="C16" s="54">
        <v>7678</v>
      </c>
      <c r="D16" s="54"/>
      <c r="E16" s="55">
        <v>4604000</v>
      </c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>
        <v>4604000</v>
      </c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>
        <f t="shared" si="0"/>
        <v>4604000</v>
      </c>
      <c r="AY16" s="55"/>
      <c r="AZ16" s="56"/>
      <c r="BA16" s="56"/>
      <c r="BB16" s="56"/>
    </row>
    <row r="17" spans="1:54" s="40" customFormat="1" ht="14.1" customHeight="1">
      <c r="A17" s="53">
        <v>46149</v>
      </c>
      <c r="B17" s="54" t="s">
        <v>30</v>
      </c>
      <c r="C17" s="54">
        <v>7677</v>
      </c>
      <c r="D17" s="54"/>
      <c r="E17" s="55">
        <v>2674000</v>
      </c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>
        <v>2674000</v>
      </c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>
        <f t="shared" si="0"/>
        <v>2674000</v>
      </c>
      <c r="AY17" s="55"/>
      <c r="AZ17" s="56"/>
      <c r="BA17" s="56"/>
      <c r="BB17" s="56"/>
    </row>
    <row r="18" spans="1:54" s="40" customFormat="1" ht="14.1" customHeight="1">
      <c r="A18" s="53">
        <v>46149</v>
      </c>
      <c r="B18" s="54" t="s">
        <v>126</v>
      </c>
      <c r="C18" s="54">
        <v>7611</v>
      </c>
      <c r="D18" s="54"/>
      <c r="E18" s="55">
        <v>168000</v>
      </c>
      <c r="F18" s="55">
        <v>168000</v>
      </c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>
        <f t="shared" si="0"/>
        <v>168000</v>
      </c>
      <c r="AY18" s="55"/>
      <c r="AZ18" s="56"/>
      <c r="BA18" s="56"/>
      <c r="BB18" s="56"/>
    </row>
    <row r="19" spans="1:54" s="40" customFormat="1" ht="14.1" customHeight="1">
      <c r="A19" s="53">
        <v>46150</v>
      </c>
      <c r="B19" s="54" t="s">
        <v>289</v>
      </c>
      <c r="C19" s="54">
        <v>7628</v>
      </c>
      <c r="D19" s="54"/>
      <c r="E19" s="55">
        <v>5900000</v>
      </c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>
        <v>5900000</v>
      </c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>
        <f t="shared" si="0"/>
        <v>5900000</v>
      </c>
      <c r="AY19" s="55"/>
      <c r="AZ19" s="56"/>
      <c r="BA19" s="56"/>
      <c r="BB19" s="56"/>
    </row>
    <row r="20" spans="1:54" s="40" customFormat="1" ht="14.1" customHeight="1">
      <c r="A20" s="53">
        <v>46150</v>
      </c>
      <c r="B20" s="54" t="s">
        <v>76</v>
      </c>
      <c r="C20" s="54">
        <v>7673</v>
      </c>
      <c r="D20" s="54"/>
      <c r="E20" s="55">
        <v>600000</v>
      </c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>
        <v>600000</v>
      </c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>
        <f t="shared" si="0"/>
        <v>600000</v>
      </c>
      <c r="AY20" s="55"/>
      <c r="AZ20" s="56"/>
      <c r="BA20" s="56"/>
      <c r="BB20" s="56"/>
    </row>
    <row r="21" spans="1:54" s="40" customFormat="1" ht="14.1" customHeight="1">
      <c r="A21" s="53">
        <v>46150</v>
      </c>
      <c r="B21" s="54" t="s">
        <v>96</v>
      </c>
      <c r="C21" s="54">
        <v>7675</v>
      </c>
      <c r="D21" s="54"/>
      <c r="E21" s="55">
        <v>150000</v>
      </c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>
        <v>150000</v>
      </c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>
        <f t="shared" si="0"/>
        <v>150000</v>
      </c>
      <c r="AY21" s="55"/>
      <c r="AZ21" s="56"/>
      <c r="BA21" s="56"/>
      <c r="BB21" s="56"/>
    </row>
    <row r="22" spans="1:54" s="40" customFormat="1" ht="14.1" customHeight="1">
      <c r="A22" s="53">
        <v>46150</v>
      </c>
      <c r="B22" s="54" t="s">
        <v>290</v>
      </c>
      <c r="C22" s="54">
        <v>7682</v>
      </c>
      <c r="D22" s="54"/>
      <c r="E22" s="55">
        <v>8340000</v>
      </c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>
        <v>8340000</v>
      </c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>
        <f t="shared" si="0"/>
        <v>8340000</v>
      </c>
      <c r="AY22" s="55"/>
      <c r="AZ22" s="56"/>
      <c r="BA22" s="56"/>
      <c r="BB22" s="56"/>
    </row>
    <row r="23" spans="1:54" s="40" customFormat="1" ht="14.1" customHeight="1">
      <c r="A23" s="53">
        <v>46151</v>
      </c>
      <c r="B23" s="54" t="s">
        <v>291</v>
      </c>
      <c r="C23" s="54">
        <v>7671</v>
      </c>
      <c r="D23" s="54"/>
      <c r="E23" s="55">
        <v>250000</v>
      </c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>
        <v>250000</v>
      </c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>
        <f t="shared" si="0"/>
        <v>250000</v>
      </c>
      <c r="AY23" s="55"/>
      <c r="AZ23" s="56"/>
      <c r="BA23" s="56"/>
      <c r="BB23" s="56"/>
    </row>
    <row r="24" spans="1:54" s="40" customFormat="1" ht="14.1" customHeight="1">
      <c r="A24" s="53"/>
      <c r="B24" s="54" t="s">
        <v>188</v>
      </c>
      <c r="C24" s="54">
        <v>7665</v>
      </c>
      <c r="D24" s="54"/>
      <c r="E24" s="55">
        <v>1477000</v>
      </c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>
        <v>1477000</v>
      </c>
      <c r="AU24" s="55"/>
      <c r="AV24" s="55"/>
      <c r="AW24" s="55"/>
      <c r="AX24" s="55">
        <f t="shared" si="0"/>
        <v>1477000</v>
      </c>
      <c r="AY24" s="55"/>
      <c r="AZ24" s="56"/>
      <c r="BA24" s="56"/>
      <c r="BB24" s="56"/>
    </row>
    <row r="25" spans="1:54" s="40" customFormat="1" ht="14.1" customHeight="1">
      <c r="A25" s="53"/>
      <c r="B25" s="54" t="s">
        <v>30</v>
      </c>
      <c r="C25" s="54">
        <v>7683</v>
      </c>
      <c r="D25" s="54"/>
      <c r="E25" s="55">
        <v>5800000</v>
      </c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>
        <v>5800000</v>
      </c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>
        <f t="shared" si="0"/>
        <v>5800000</v>
      </c>
      <c r="AY25" s="55"/>
      <c r="AZ25" s="56"/>
      <c r="BA25" s="56"/>
      <c r="BB25" s="56"/>
    </row>
    <row r="26" spans="1:54" s="40" customFormat="1" ht="14.1" customHeight="1">
      <c r="A26" s="53">
        <v>46155</v>
      </c>
      <c r="B26" s="54" t="s">
        <v>253</v>
      </c>
      <c r="C26" s="54">
        <v>7668</v>
      </c>
      <c r="D26" s="54"/>
      <c r="E26" s="55">
        <v>600000</v>
      </c>
      <c r="F26" s="55"/>
      <c r="G26" s="55"/>
      <c r="H26" s="55"/>
      <c r="I26" s="55"/>
      <c r="J26" s="55"/>
      <c r="K26" s="55"/>
      <c r="L26" s="55">
        <v>600000</v>
      </c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>
        <f t="shared" si="0"/>
        <v>600000</v>
      </c>
      <c r="AY26" s="55"/>
      <c r="AZ26" s="56"/>
      <c r="BA26" s="56"/>
      <c r="BB26" s="56"/>
    </row>
    <row r="27" spans="1:54" s="40" customFormat="1" ht="14.1" customHeight="1">
      <c r="A27" s="53">
        <v>46156</v>
      </c>
      <c r="B27" s="54" t="s">
        <v>94</v>
      </c>
      <c r="C27" s="54">
        <v>7690</v>
      </c>
      <c r="D27" s="54"/>
      <c r="E27" s="55">
        <v>4300000</v>
      </c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>
        <v>4300000</v>
      </c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>
        <f t="shared" si="0"/>
        <v>4300000</v>
      </c>
      <c r="AY27" s="55"/>
      <c r="AZ27" s="56"/>
      <c r="BA27" s="56"/>
      <c r="BB27" s="56"/>
    </row>
    <row r="28" spans="1:54" s="40" customFormat="1" ht="14.1" customHeight="1">
      <c r="A28" s="53">
        <v>46156</v>
      </c>
      <c r="B28" s="54" t="s">
        <v>94</v>
      </c>
      <c r="C28" s="54">
        <v>7688</v>
      </c>
      <c r="E28" s="55">
        <v>23600000</v>
      </c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>
        <v>23600000</v>
      </c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>
        <f t="shared" si="0"/>
        <v>23600000</v>
      </c>
      <c r="AY28" s="55"/>
      <c r="AZ28" s="56"/>
      <c r="BA28" s="56"/>
      <c r="BB28" s="56"/>
    </row>
    <row r="29" spans="1:54" s="40" customFormat="1" ht="14.1" customHeight="1">
      <c r="A29" s="53">
        <v>46156</v>
      </c>
      <c r="B29" s="54" t="s">
        <v>73</v>
      </c>
      <c r="C29" s="54">
        <v>7689</v>
      </c>
      <c r="D29" s="54"/>
      <c r="E29" s="55">
        <v>1000000</v>
      </c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>
        <v>1000000</v>
      </c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>
        <f t="shared" si="0"/>
        <v>1000000</v>
      </c>
      <c r="AY29" s="55"/>
      <c r="AZ29" s="56"/>
      <c r="BA29" s="56"/>
      <c r="BB29" s="56"/>
    </row>
    <row r="30" spans="1:54" s="40" customFormat="1" ht="14.1" customHeight="1">
      <c r="A30" s="53">
        <v>46157</v>
      </c>
      <c r="B30" s="54" t="s">
        <v>92</v>
      </c>
      <c r="C30" s="54">
        <v>7674</v>
      </c>
      <c r="D30" s="54"/>
      <c r="E30" s="55">
        <v>200000</v>
      </c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>
        <v>200000</v>
      </c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>
        <f t="shared" si="0"/>
        <v>200000</v>
      </c>
      <c r="AY30" s="55"/>
      <c r="AZ30" s="56"/>
      <c r="BA30" s="56"/>
      <c r="BB30" s="56"/>
    </row>
    <row r="31" spans="1:54" s="40" customFormat="1" ht="14.1" customHeight="1">
      <c r="A31" s="53">
        <v>46157</v>
      </c>
      <c r="B31" s="54" t="s">
        <v>292</v>
      </c>
      <c r="C31" s="54">
        <v>7691</v>
      </c>
      <c r="D31" s="54"/>
      <c r="E31" s="55">
        <v>1050000</v>
      </c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>
        <v>1050000</v>
      </c>
      <c r="AV31" s="55"/>
      <c r="AW31" s="55"/>
      <c r="AX31" s="55">
        <f t="shared" si="0"/>
        <v>1050000</v>
      </c>
      <c r="AY31" s="55"/>
      <c r="AZ31" s="56"/>
      <c r="BA31" s="56"/>
      <c r="BB31" s="56"/>
    </row>
    <row r="32" spans="1:54" s="40" customFormat="1" ht="14.1" customHeight="1">
      <c r="A32" s="53">
        <v>46157</v>
      </c>
      <c r="B32" s="54" t="s">
        <v>293</v>
      </c>
      <c r="C32" s="54">
        <v>7586</v>
      </c>
      <c r="D32" s="54"/>
      <c r="E32" s="55">
        <v>220000</v>
      </c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>
        <v>220000</v>
      </c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>
        <f t="shared" si="0"/>
        <v>220000</v>
      </c>
      <c r="AY32" s="55"/>
      <c r="AZ32" s="56"/>
      <c r="BA32" s="56"/>
      <c r="BB32" s="56"/>
    </row>
    <row r="33" spans="1:54" s="40" customFormat="1" ht="14.1" customHeight="1">
      <c r="A33" s="53">
        <v>46157</v>
      </c>
      <c r="B33" s="54" t="s">
        <v>74</v>
      </c>
      <c r="C33" s="54">
        <v>7684</v>
      </c>
      <c r="D33" s="54"/>
      <c r="E33" s="55">
        <v>1490000</v>
      </c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>
        <v>1490000</v>
      </c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>
        <f t="shared" si="0"/>
        <v>1490000</v>
      </c>
      <c r="AY33" s="55"/>
      <c r="AZ33" s="56"/>
      <c r="BA33" s="56"/>
      <c r="BB33" s="56"/>
    </row>
    <row r="34" spans="1:54" s="40" customFormat="1" ht="14.1" customHeight="1">
      <c r="A34" s="53">
        <v>46157</v>
      </c>
      <c r="B34" s="54" t="s">
        <v>74</v>
      </c>
      <c r="C34" s="54">
        <v>7687</v>
      </c>
      <c r="D34" s="54"/>
      <c r="E34" s="55">
        <v>2820000</v>
      </c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>
        <v>2820000</v>
      </c>
      <c r="AQ34" s="55"/>
      <c r="AR34" s="55"/>
      <c r="AS34" s="55"/>
      <c r="AT34" s="55"/>
      <c r="AU34" s="55"/>
      <c r="AV34" s="55"/>
      <c r="AW34" s="55"/>
      <c r="AX34" s="55">
        <f t="shared" si="0"/>
        <v>2820000</v>
      </c>
      <c r="AY34" s="55"/>
      <c r="AZ34" s="56"/>
      <c r="BA34" s="56"/>
      <c r="BB34" s="56"/>
    </row>
    <row r="35" spans="1:54" s="40" customFormat="1" ht="14.1" customHeight="1">
      <c r="A35" s="53">
        <v>46157</v>
      </c>
      <c r="B35" s="54" t="s">
        <v>294</v>
      </c>
      <c r="C35" s="54">
        <v>7685</v>
      </c>
      <c r="D35" s="54"/>
      <c r="E35" s="55">
        <v>3000000</v>
      </c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>
        <v>3000000</v>
      </c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>
        <f t="shared" si="0"/>
        <v>3000000</v>
      </c>
      <c r="AY35" s="55"/>
      <c r="AZ35" s="56"/>
      <c r="BA35" s="56"/>
      <c r="BB35" s="56"/>
    </row>
    <row r="36" spans="1:54" s="40" customFormat="1" ht="14.1" customHeight="1">
      <c r="A36" s="53">
        <v>46157</v>
      </c>
      <c r="B36" s="54" t="s">
        <v>295</v>
      </c>
      <c r="C36" s="54">
        <v>7672</v>
      </c>
      <c r="D36" s="54"/>
      <c r="E36" s="55">
        <v>480000</v>
      </c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>
        <v>480000</v>
      </c>
      <c r="AS36" s="55"/>
      <c r="AT36" s="55"/>
      <c r="AU36" s="55"/>
      <c r="AV36" s="55"/>
      <c r="AW36" s="55"/>
      <c r="AX36" s="55">
        <f t="shared" si="0"/>
        <v>480000</v>
      </c>
      <c r="AY36" s="55"/>
      <c r="AZ36" s="56"/>
      <c r="BA36" s="56"/>
      <c r="BB36" s="56"/>
    </row>
    <row r="37" spans="1:54" s="40" customFormat="1" ht="14.1" customHeight="1">
      <c r="A37" s="53">
        <v>46157</v>
      </c>
      <c r="B37" s="54" t="s">
        <v>99</v>
      </c>
      <c r="C37" s="54">
        <v>7695</v>
      </c>
      <c r="D37" s="54"/>
      <c r="E37" s="55">
        <v>3000000</v>
      </c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>
        <v>3000000</v>
      </c>
      <c r="AT37" s="55"/>
      <c r="AU37" s="55"/>
      <c r="AV37" s="55"/>
      <c r="AW37" s="55"/>
      <c r="AX37" s="55">
        <f t="shared" si="0"/>
        <v>3000000</v>
      </c>
      <c r="AY37" s="55"/>
      <c r="AZ37" s="56"/>
      <c r="BA37" s="56"/>
      <c r="BB37" s="56"/>
    </row>
    <row r="38" spans="1:54" s="40" customFormat="1" ht="14.1" customHeight="1">
      <c r="A38" s="53">
        <v>46157</v>
      </c>
      <c r="B38" s="54" t="s">
        <v>296</v>
      </c>
      <c r="C38" s="54">
        <v>7696</v>
      </c>
      <c r="D38" s="54"/>
      <c r="E38" s="55">
        <v>366000</v>
      </c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>
        <v>366000</v>
      </c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>
        <f t="shared" si="0"/>
        <v>366000</v>
      </c>
      <c r="AY38" s="55"/>
      <c r="AZ38" s="56"/>
      <c r="BA38" s="56"/>
      <c r="BB38" s="56"/>
    </row>
    <row r="39" spans="1:54" s="40" customFormat="1" ht="14.1" customHeight="1">
      <c r="A39" s="53">
        <v>46157</v>
      </c>
      <c r="B39" s="54" t="s">
        <v>128</v>
      </c>
      <c r="C39" s="54">
        <v>7649</v>
      </c>
      <c r="D39" s="54"/>
      <c r="E39" s="55">
        <v>3832500</v>
      </c>
      <c r="F39" s="55"/>
      <c r="G39" s="55">
        <v>3832500</v>
      </c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>
        <f t="shared" si="0"/>
        <v>3832500</v>
      </c>
      <c r="AY39" s="55"/>
      <c r="AZ39" s="56"/>
      <c r="BA39" s="56"/>
      <c r="BB39" s="56"/>
    </row>
    <row r="40" spans="1:54" s="40" customFormat="1" ht="14.1" customHeight="1">
      <c r="A40" s="53">
        <v>46161</v>
      </c>
      <c r="B40" s="54" t="s">
        <v>73</v>
      </c>
      <c r="C40" s="54">
        <v>7699</v>
      </c>
      <c r="D40" s="54"/>
      <c r="E40" s="55">
        <v>2985000</v>
      </c>
      <c r="F40" s="55"/>
      <c r="G40" s="55"/>
      <c r="H40" s="55"/>
      <c r="I40" s="55"/>
      <c r="J40" s="55"/>
      <c r="K40" s="55">
        <v>2985000</v>
      </c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>
        <f t="shared" si="0"/>
        <v>2985000</v>
      </c>
      <c r="AY40" s="55"/>
      <c r="AZ40" s="56"/>
      <c r="BA40" s="56"/>
      <c r="BB40" s="56"/>
    </row>
    <row r="41" spans="1:54" s="40" customFormat="1" ht="14.1" customHeight="1">
      <c r="A41" s="53">
        <v>46163</v>
      </c>
      <c r="B41" s="54" t="s">
        <v>94</v>
      </c>
      <c r="C41" s="54">
        <v>7722</v>
      </c>
      <c r="D41" s="54"/>
      <c r="E41" s="55">
        <v>49750000</v>
      </c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>
        <v>49750000</v>
      </c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>
        <f t="shared" si="0"/>
        <v>49750000</v>
      </c>
      <c r="AY41" s="55"/>
      <c r="AZ41" s="56"/>
      <c r="BA41" s="56"/>
      <c r="BB41" s="56"/>
    </row>
    <row r="42" spans="1:54" s="40" customFormat="1" ht="14.1" customHeight="1">
      <c r="A42" s="53">
        <v>46157</v>
      </c>
      <c r="B42" s="54" t="s">
        <v>74</v>
      </c>
      <c r="C42" s="54">
        <v>7712</v>
      </c>
      <c r="D42" s="54"/>
      <c r="E42" s="55">
        <v>1350000</v>
      </c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>
        <v>1350000</v>
      </c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>
        <f t="shared" si="0"/>
        <v>1350000</v>
      </c>
      <c r="AY42" s="55"/>
      <c r="AZ42" s="56"/>
      <c r="BA42" s="56"/>
      <c r="BB42" s="56"/>
    </row>
    <row r="43" spans="1:54" s="40" customFormat="1" ht="14.1" customHeight="1">
      <c r="A43" s="53">
        <v>46163</v>
      </c>
      <c r="B43" s="54" t="s">
        <v>248</v>
      </c>
      <c r="C43" s="54">
        <v>7708</v>
      </c>
      <c r="D43" s="54"/>
      <c r="E43" s="55">
        <v>230000</v>
      </c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>
        <v>230000</v>
      </c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>
        <f t="shared" si="0"/>
        <v>230000</v>
      </c>
      <c r="AY43" s="55"/>
      <c r="AZ43" s="56"/>
      <c r="BA43" s="56"/>
      <c r="BB43" s="56"/>
    </row>
    <row r="44" spans="1:54" s="40" customFormat="1" ht="14.1" customHeight="1">
      <c r="A44" s="53">
        <v>46164</v>
      </c>
      <c r="B44" s="54" t="s">
        <v>297</v>
      </c>
      <c r="C44" s="54">
        <v>7697</v>
      </c>
      <c r="D44" s="54"/>
      <c r="E44" s="55">
        <v>720000</v>
      </c>
      <c r="F44" s="55"/>
      <c r="G44" s="55"/>
      <c r="H44" s="55"/>
      <c r="I44" s="55"/>
      <c r="J44" s="55">
        <f>720000</f>
        <v>720000</v>
      </c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>
        <f t="shared" si="0"/>
        <v>720000</v>
      </c>
      <c r="AY44" s="55"/>
      <c r="AZ44" s="56"/>
      <c r="BA44" s="56"/>
      <c r="BB44" s="56"/>
    </row>
    <row r="45" spans="1:54" s="40" customFormat="1" ht="14.1" hidden="1" customHeight="1">
      <c r="A45" s="53">
        <v>46157</v>
      </c>
      <c r="B45" s="54"/>
      <c r="C45" s="54"/>
      <c r="D45" s="54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>
        <f t="shared" si="0"/>
        <v>0</v>
      </c>
      <c r="AY45" s="55"/>
      <c r="AZ45" s="56"/>
      <c r="BA45" s="56"/>
      <c r="BB45" s="56"/>
    </row>
    <row r="46" spans="1:54" s="40" customFormat="1">
      <c r="A46" s="53">
        <v>46163</v>
      </c>
      <c r="B46" s="54" t="s">
        <v>298</v>
      </c>
      <c r="C46" s="54">
        <v>7713</v>
      </c>
      <c r="D46" s="54">
        <v>9814</v>
      </c>
      <c r="E46" s="55">
        <v>100000</v>
      </c>
      <c r="F46" s="55"/>
      <c r="G46" s="55"/>
      <c r="H46" s="55"/>
      <c r="I46" s="55"/>
      <c r="J46" s="55"/>
      <c r="K46" s="55"/>
      <c r="L46" s="55"/>
      <c r="M46" s="55">
        <v>100000</v>
      </c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>
        <f t="shared" si="0"/>
        <v>100000</v>
      </c>
      <c r="AY46" s="55"/>
    </row>
    <row r="47" spans="1:54" s="216" customFormat="1">
      <c r="A47" s="219">
        <v>46163</v>
      </c>
      <c r="B47" s="220" t="s">
        <v>25</v>
      </c>
      <c r="C47" s="220">
        <v>7721</v>
      </c>
      <c r="D47" s="220">
        <v>9847</v>
      </c>
      <c r="E47" s="221">
        <v>2248000</v>
      </c>
      <c r="F47" s="221"/>
      <c r="G47" s="221"/>
      <c r="H47" s="221"/>
      <c r="I47" s="221"/>
      <c r="J47" s="221"/>
      <c r="K47" s="221"/>
      <c r="L47" s="221"/>
      <c r="M47" s="221"/>
      <c r="N47" s="221">
        <v>2248000</v>
      </c>
      <c r="O47" s="221"/>
      <c r="P47" s="221"/>
      <c r="Q47" s="221"/>
      <c r="R47" s="221"/>
      <c r="S47" s="221"/>
      <c r="T47" s="221"/>
      <c r="U47" s="221"/>
      <c r="V47" s="221"/>
      <c r="W47" s="221"/>
      <c r="X47" s="221"/>
      <c r="Y47" s="221"/>
      <c r="Z47" s="221"/>
      <c r="AA47" s="221"/>
      <c r="AB47" s="221"/>
      <c r="AC47" s="221"/>
      <c r="AD47" s="221"/>
      <c r="AE47" s="221"/>
      <c r="AF47" s="221"/>
      <c r="AG47" s="221"/>
      <c r="AH47" s="221"/>
      <c r="AI47" s="221"/>
      <c r="AJ47" s="221"/>
      <c r="AK47" s="221"/>
      <c r="AL47" s="221"/>
      <c r="AM47" s="221"/>
      <c r="AN47" s="221"/>
      <c r="AO47" s="221"/>
      <c r="AP47" s="221"/>
      <c r="AQ47" s="221"/>
      <c r="AR47" s="221"/>
      <c r="AS47" s="221"/>
      <c r="AT47" s="221"/>
      <c r="AU47" s="221"/>
      <c r="AV47" s="221"/>
      <c r="AW47" s="221"/>
      <c r="AX47" s="55">
        <f t="shared" si="0"/>
        <v>2248000</v>
      </c>
      <c r="AY47" s="221"/>
    </row>
    <row r="48" spans="1:54" s="40" customFormat="1">
      <c r="A48" s="53">
        <v>46163</v>
      </c>
      <c r="B48" s="54" t="s">
        <v>89</v>
      </c>
      <c r="C48" s="54">
        <v>7714</v>
      </c>
      <c r="D48" s="54">
        <v>9816</v>
      </c>
      <c r="E48" s="55">
        <v>3100000</v>
      </c>
      <c r="F48" s="55"/>
      <c r="G48" s="55"/>
      <c r="H48" s="55"/>
      <c r="I48" s="55"/>
      <c r="J48" s="55"/>
      <c r="K48" s="55"/>
      <c r="L48" s="55"/>
      <c r="M48" s="55"/>
      <c r="N48" s="55"/>
      <c r="O48" s="55">
        <v>3100000</v>
      </c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>
        <f t="shared" si="0"/>
        <v>3100000</v>
      </c>
      <c r="AY48" s="55"/>
    </row>
    <row r="49" spans="1:51" s="40" customFormat="1">
      <c r="A49" s="53">
        <v>46163</v>
      </c>
      <c r="B49" s="54" t="s">
        <v>248</v>
      </c>
      <c r="C49" s="54">
        <v>7708</v>
      </c>
      <c r="D49" s="54">
        <v>9846</v>
      </c>
      <c r="E49" s="55">
        <v>230000</v>
      </c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>
        <v>230000</v>
      </c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>
        <f t="shared" si="0"/>
        <v>230000</v>
      </c>
      <c r="AY49" s="55"/>
    </row>
    <row r="50" spans="1:51" s="40" customFormat="1">
      <c r="A50" s="53">
        <v>46163</v>
      </c>
      <c r="B50" s="54" t="s">
        <v>30</v>
      </c>
      <c r="C50" s="54">
        <v>7707</v>
      </c>
      <c r="D50" s="54">
        <v>9815</v>
      </c>
      <c r="E50" s="55">
        <v>7483800</v>
      </c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>
        <f>1380000+850000+2231000</f>
        <v>4461000</v>
      </c>
      <c r="R50" s="55">
        <f>1117800</f>
        <v>1117800</v>
      </c>
      <c r="S50" s="55">
        <f>2231000+1156000</f>
        <v>3387000</v>
      </c>
      <c r="T50" s="55">
        <f>749000</f>
        <v>749000</v>
      </c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>
        <f t="shared" si="0"/>
        <v>9714800</v>
      </c>
      <c r="AY50" s="55"/>
    </row>
    <row r="51" spans="1:51" s="40" customFormat="1">
      <c r="A51" s="53">
        <v>46163</v>
      </c>
      <c r="B51" s="54" t="s">
        <v>30</v>
      </c>
      <c r="C51" s="54">
        <v>7715</v>
      </c>
      <c r="D51" s="54">
        <v>9945</v>
      </c>
      <c r="E51" s="55">
        <v>4249000</v>
      </c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>
        <f>1800000+575000</f>
        <v>2375000</v>
      </c>
      <c r="V51" s="55">
        <v>1874000</v>
      </c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>
        <f t="shared" si="0"/>
        <v>4249000</v>
      </c>
      <c r="AY51" s="55"/>
    </row>
    <row r="52" spans="1:51" s="40" customFormat="1">
      <c r="A52" s="53">
        <v>46163</v>
      </c>
      <c r="B52" s="54" t="s">
        <v>30</v>
      </c>
      <c r="C52" s="54">
        <v>7723</v>
      </c>
      <c r="D52" s="54">
        <v>9959</v>
      </c>
      <c r="E52" s="55">
        <v>4854000</v>
      </c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>
        <v>4854000</v>
      </c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>
        <f t="shared" si="0"/>
        <v>4854000</v>
      </c>
      <c r="AY52" s="55"/>
    </row>
    <row r="53" spans="1:51" s="40" customFormat="1">
      <c r="A53" s="53">
        <v>46163</v>
      </c>
      <c r="B53" s="54" t="s">
        <v>299</v>
      </c>
      <c r="C53" s="54">
        <v>7669</v>
      </c>
      <c r="D53" s="54">
        <v>9922</v>
      </c>
      <c r="E53" s="55">
        <v>530000</v>
      </c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>
        <v>530000</v>
      </c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>
        <f t="shared" si="0"/>
        <v>530000</v>
      </c>
      <c r="AY53" s="55"/>
    </row>
    <row r="54" spans="1:51" s="40" customFormat="1">
      <c r="A54" s="53">
        <v>46134</v>
      </c>
      <c r="B54" s="54" t="s">
        <v>300</v>
      </c>
      <c r="C54" s="54">
        <v>7704</v>
      </c>
      <c r="D54" s="54">
        <v>9830</v>
      </c>
      <c r="E54" s="55">
        <v>300000</v>
      </c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>
        <v>300000</v>
      </c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>
        <f t="shared" si="0"/>
        <v>300000</v>
      </c>
      <c r="AY54" s="55"/>
    </row>
    <row r="55" spans="1:51" s="40" customFormat="1">
      <c r="A55" s="53">
        <v>46163</v>
      </c>
      <c r="B55" s="54" t="s">
        <v>237</v>
      </c>
      <c r="C55" s="54">
        <v>7709</v>
      </c>
      <c r="D55" s="54">
        <v>9946</v>
      </c>
      <c r="E55" s="55">
        <v>255000</v>
      </c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>
        <v>255000</v>
      </c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>
        <f t="shared" si="0"/>
        <v>255000</v>
      </c>
      <c r="AY55" s="55"/>
    </row>
    <row r="56" spans="1:51" s="40" customFormat="1">
      <c r="A56" s="53">
        <v>46164</v>
      </c>
      <c r="B56" s="54" t="s">
        <v>73</v>
      </c>
      <c r="C56" s="54">
        <v>7706</v>
      </c>
      <c r="D56" s="54">
        <v>9951</v>
      </c>
      <c r="E56" s="55">
        <v>4260000</v>
      </c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>
        <v>4260000</v>
      </c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>
        <f t="shared" si="0"/>
        <v>4260000</v>
      </c>
      <c r="AY56" s="55"/>
    </row>
    <row r="57" spans="1:51" s="40" customFormat="1">
      <c r="A57" s="53">
        <v>46164</v>
      </c>
      <c r="B57" s="54" t="s">
        <v>126</v>
      </c>
      <c r="C57" s="54">
        <v>7698</v>
      </c>
      <c r="D57" s="54"/>
      <c r="E57" s="55">
        <v>4633380</v>
      </c>
      <c r="F57" s="55"/>
      <c r="G57" s="55"/>
      <c r="H57" s="55"/>
      <c r="I57" s="55"/>
      <c r="J57" s="55"/>
      <c r="K57" s="55"/>
      <c r="L57" s="55"/>
      <c r="M57" s="55">
        <v>4633380</v>
      </c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>
        <f t="shared" si="0"/>
        <v>4633380</v>
      </c>
      <c r="AY57" s="55"/>
    </row>
    <row r="58" spans="1:51" s="40" customFormat="1">
      <c r="A58" s="53">
        <v>46166</v>
      </c>
      <c r="B58" s="54" t="s">
        <v>76</v>
      </c>
      <c r="C58" s="54">
        <v>7717</v>
      </c>
      <c r="D58" s="54">
        <v>9950</v>
      </c>
      <c r="E58" s="55">
        <v>1500000</v>
      </c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>
        <v>1500000</v>
      </c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>
        <f t="shared" si="0"/>
        <v>1500000</v>
      </c>
      <c r="AY58" s="55"/>
    </row>
    <row r="59" spans="1:51" s="40" customFormat="1" ht="22.5">
      <c r="A59" s="53">
        <v>46164</v>
      </c>
      <c r="B59" s="50" t="s">
        <v>301</v>
      </c>
      <c r="C59" s="54">
        <v>7726</v>
      </c>
      <c r="D59" s="54">
        <v>9953</v>
      </c>
      <c r="E59" s="55">
        <v>8839156</v>
      </c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>
        <v>8839156</v>
      </c>
      <c r="AD59" s="55">
        <v>0</v>
      </c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>
        <f t="shared" si="0"/>
        <v>8839156</v>
      </c>
      <c r="AY59" s="55"/>
    </row>
    <row r="60" spans="1:51" s="40" customFormat="1">
      <c r="A60" s="53">
        <v>46168</v>
      </c>
      <c r="B60" s="54" t="s">
        <v>25</v>
      </c>
      <c r="C60" s="54">
        <v>7667</v>
      </c>
      <c r="D60" s="54">
        <v>9904</v>
      </c>
      <c r="E60" s="55">
        <v>950000</v>
      </c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>
        <v>950000</v>
      </c>
      <c r="AE60" s="55">
        <v>0</v>
      </c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>
        <f t="shared" si="0"/>
        <v>950000</v>
      </c>
      <c r="AY60" s="55"/>
    </row>
    <row r="61" spans="1:51" s="40" customFormat="1">
      <c r="A61" s="53">
        <v>46168</v>
      </c>
      <c r="B61" s="54" t="s">
        <v>105</v>
      </c>
      <c r="C61" s="54">
        <v>7728</v>
      </c>
      <c r="D61" s="54">
        <v>9960</v>
      </c>
      <c r="E61" s="55">
        <v>466000</v>
      </c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>
        <v>466000</v>
      </c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>
        <f t="shared" si="0"/>
        <v>466000</v>
      </c>
      <c r="AY61" s="55"/>
    </row>
    <row r="62" spans="1:51" s="40" customFormat="1">
      <c r="A62" s="53">
        <v>46168</v>
      </c>
      <c r="B62" s="54" t="s">
        <v>254</v>
      </c>
      <c r="C62" s="54">
        <v>7729</v>
      </c>
      <c r="D62" s="54">
        <v>9961</v>
      </c>
      <c r="E62" s="55">
        <v>1105000</v>
      </c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>
        <v>1105000</v>
      </c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55">
        <f t="shared" si="0"/>
        <v>1105000</v>
      </c>
      <c r="AY62" s="55"/>
    </row>
    <row r="63" spans="1:51" s="40" customFormat="1" ht="33.75">
      <c r="A63" s="53">
        <v>46168</v>
      </c>
      <c r="B63" s="50" t="s">
        <v>212</v>
      </c>
      <c r="C63" s="54">
        <v>7725</v>
      </c>
      <c r="D63" s="54">
        <v>9957</v>
      </c>
      <c r="E63" s="55">
        <v>327732</v>
      </c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>
        <v>327732</v>
      </c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>
        <f t="shared" si="0"/>
        <v>327732</v>
      </c>
      <c r="AY63" s="55"/>
    </row>
    <row r="64" spans="1:51" s="40" customFormat="1" ht="11.1" customHeight="1">
      <c r="A64" s="53">
        <v>46168</v>
      </c>
      <c r="B64" s="54" t="s">
        <v>94</v>
      </c>
      <c r="C64" s="54">
        <v>7718</v>
      </c>
      <c r="D64" s="54">
        <v>9844</v>
      </c>
      <c r="E64" s="55">
        <v>6500000</v>
      </c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>
        <v>6500000</v>
      </c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>
        <f t="shared" si="0"/>
        <v>6500000</v>
      </c>
      <c r="AY64" s="55"/>
    </row>
    <row r="65" spans="1:51" s="40" customFormat="1">
      <c r="A65" s="53">
        <v>46168</v>
      </c>
      <c r="B65" s="54" t="s">
        <v>265</v>
      </c>
      <c r="C65" s="54">
        <v>7731</v>
      </c>
      <c r="D65" s="54">
        <v>9954</v>
      </c>
      <c r="E65" s="55">
        <v>550000</v>
      </c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>
        <v>550000</v>
      </c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>
        <f t="shared" si="0"/>
        <v>550000</v>
      </c>
      <c r="AY65" s="55"/>
    </row>
    <row r="66" spans="1:51" s="40" customFormat="1">
      <c r="A66" s="53">
        <v>46168</v>
      </c>
      <c r="B66" s="54"/>
      <c r="C66" s="54">
        <v>7720</v>
      </c>
      <c r="D66" s="54"/>
      <c r="E66" s="55">
        <v>920000</v>
      </c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>
        <v>920000</v>
      </c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>
        <f t="shared" si="0"/>
        <v>920000</v>
      </c>
      <c r="AY66" s="55"/>
    </row>
    <row r="67" spans="1:51" s="40" customFormat="1">
      <c r="A67" s="53">
        <v>46168</v>
      </c>
      <c r="B67" s="54" t="s">
        <v>294</v>
      </c>
      <c r="C67" s="54">
        <v>7686</v>
      </c>
      <c r="D67" s="54"/>
      <c r="E67" s="55">
        <v>3085014</v>
      </c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>
        <v>3085014</v>
      </c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>
        <f t="shared" si="0"/>
        <v>3085014</v>
      </c>
      <c r="AY67" s="55"/>
    </row>
    <row r="68" spans="1:51" s="40" customFormat="1">
      <c r="A68" s="54"/>
      <c r="B68" s="54" t="s">
        <v>30</v>
      </c>
      <c r="C68" s="54">
        <v>7752</v>
      </c>
      <c r="D68" s="54">
        <v>9983</v>
      </c>
      <c r="E68" s="55">
        <v>240000</v>
      </c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>
        <v>240000</v>
      </c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>
        <f t="shared" si="0"/>
        <v>240000</v>
      </c>
      <c r="AY68" s="55"/>
    </row>
    <row r="69" spans="1:51" s="40" customFormat="1">
      <c r="A69" s="53">
        <v>46168</v>
      </c>
      <c r="B69" s="54" t="s">
        <v>175</v>
      </c>
      <c r="C69" s="54">
        <v>7703</v>
      </c>
      <c r="D69" s="54">
        <v>9828</v>
      </c>
      <c r="E69" s="55">
        <v>310000</v>
      </c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>
        <f>310000</f>
        <v>310000</v>
      </c>
      <c r="AX69" s="55">
        <f t="shared" si="0"/>
        <v>310000</v>
      </c>
      <c r="AY69" s="55"/>
    </row>
    <row r="70" spans="1:51" s="40" customFormat="1">
      <c r="A70" s="53">
        <v>46168</v>
      </c>
      <c r="B70" s="54" t="s">
        <v>94</v>
      </c>
      <c r="C70" s="54">
        <v>7732</v>
      </c>
      <c r="D70" s="54">
        <v>9962</v>
      </c>
      <c r="E70" s="55">
        <v>600000</v>
      </c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>
        <v>600000</v>
      </c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>
        <f t="shared" si="0"/>
        <v>600000</v>
      </c>
      <c r="AY70" s="55"/>
    </row>
    <row r="71" spans="1:51" s="40" customFormat="1">
      <c r="A71" s="53">
        <v>46172</v>
      </c>
      <c r="B71" s="54" t="s">
        <v>263</v>
      </c>
      <c r="C71" s="54">
        <v>7737</v>
      </c>
      <c r="D71" s="54">
        <v>9968</v>
      </c>
      <c r="E71" s="55">
        <v>550000</v>
      </c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>
        <v>550000</v>
      </c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>
        <f t="shared" si="0"/>
        <v>550000</v>
      </c>
      <c r="AY71" s="55"/>
    </row>
    <row r="72" spans="1:51" s="40" customFormat="1">
      <c r="A72" s="53">
        <v>46168</v>
      </c>
      <c r="B72" s="54" t="s">
        <v>30</v>
      </c>
      <c r="C72" s="54">
        <v>7742</v>
      </c>
      <c r="D72" s="54">
        <v>9989</v>
      </c>
      <c r="E72" s="55">
        <v>1240000</v>
      </c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>
        <v>1240000</v>
      </c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>
        <f t="shared" ref="AX72:AX91" si="1">F72+G72+H72+I72+J72+K72+L72+M72+N72+O72+P72+Q72+R72+S72+T72+U72+V72+W72+X72+Y72+Z72+AA72+AB72+AC72+AD72+AE72+AF72+AG72+AH72+AI72+AJ72+AK72+AL72+AM72+AN72+AO72+AP72+AQ72+AR72+AS72+AT72+AU72+AV72+AW72</f>
        <v>1240000</v>
      </c>
      <c r="AY72" s="55"/>
    </row>
    <row r="73" spans="1:51" s="40" customFormat="1" ht="22.5">
      <c r="A73" s="53">
        <v>46170</v>
      </c>
      <c r="B73" s="50" t="s">
        <v>182</v>
      </c>
      <c r="C73" s="54">
        <v>7711</v>
      </c>
      <c r="D73" s="54">
        <v>9944</v>
      </c>
      <c r="E73" s="55">
        <v>1612570</v>
      </c>
      <c r="F73" s="55">
        <v>102930</v>
      </c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>
        <v>1612570</v>
      </c>
      <c r="AO73" s="55"/>
      <c r="AP73" s="55"/>
      <c r="AQ73" s="55"/>
      <c r="AR73" s="55"/>
      <c r="AS73" s="55"/>
      <c r="AT73" s="55"/>
      <c r="AU73" s="55"/>
      <c r="AV73" s="55"/>
      <c r="AW73" s="55"/>
      <c r="AX73" s="55">
        <f t="shared" si="1"/>
        <v>1715500</v>
      </c>
      <c r="AY73" s="55"/>
    </row>
    <row r="74" spans="1:51">
      <c r="AX74" s="55">
        <f t="shared" si="1"/>
        <v>0</v>
      </c>
    </row>
    <row r="75" spans="1:51" s="40" customFormat="1">
      <c r="A75" s="53">
        <v>46171</v>
      </c>
      <c r="B75" s="54" t="s">
        <v>25</v>
      </c>
      <c r="C75" s="54">
        <v>7730</v>
      </c>
      <c r="D75" s="54">
        <v>9964</v>
      </c>
      <c r="E75" s="55">
        <v>850000</v>
      </c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>
        <v>850000</v>
      </c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>
        <f t="shared" si="1"/>
        <v>850000</v>
      </c>
      <c r="AY75" s="55"/>
    </row>
    <row r="76" spans="1:51" s="40" customFormat="1">
      <c r="A76" s="53">
        <v>46171</v>
      </c>
      <c r="B76" s="54" t="s">
        <v>73</v>
      </c>
      <c r="C76" s="54">
        <v>7739</v>
      </c>
      <c r="D76" s="54"/>
      <c r="E76" s="55">
        <v>6080000</v>
      </c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>
        <v>6080000</v>
      </c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5"/>
      <c r="AW76" s="55"/>
      <c r="AX76" s="55">
        <f t="shared" si="1"/>
        <v>6080000</v>
      </c>
      <c r="AY76" s="55"/>
    </row>
    <row r="77" spans="1:51" s="40" customFormat="1">
      <c r="A77" s="53">
        <v>46171</v>
      </c>
      <c r="B77" s="54" t="s">
        <v>73</v>
      </c>
      <c r="C77" s="54">
        <v>7748</v>
      </c>
      <c r="D77" s="54"/>
      <c r="E77" s="55">
        <v>1205000</v>
      </c>
      <c r="F77" s="55"/>
      <c r="G77" s="55"/>
      <c r="H77" s="55"/>
      <c r="I77" s="55">
        <v>1205000</v>
      </c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>
        <f t="shared" si="1"/>
        <v>1205000</v>
      </c>
      <c r="AY77" s="55"/>
    </row>
    <row r="78" spans="1:51" s="40" customFormat="1">
      <c r="A78" s="53">
        <v>46168</v>
      </c>
      <c r="B78" s="54" t="s">
        <v>302</v>
      </c>
      <c r="C78" s="54">
        <v>7734</v>
      </c>
      <c r="D78" s="54">
        <v>9965</v>
      </c>
      <c r="E78" s="55">
        <v>14980000</v>
      </c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>
        <v>14980000</v>
      </c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>
        <f t="shared" si="1"/>
        <v>14980000</v>
      </c>
      <c r="AY78" s="55"/>
    </row>
    <row r="79" spans="1:51" s="40" customFormat="1">
      <c r="A79" s="53">
        <v>46203</v>
      </c>
      <c r="B79" s="54" t="s">
        <v>74</v>
      </c>
      <c r="C79" s="54">
        <v>7753</v>
      </c>
      <c r="D79" s="54"/>
      <c r="E79" s="55">
        <v>540000</v>
      </c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>
        <v>540000</v>
      </c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>
        <f t="shared" si="1"/>
        <v>540000</v>
      </c>
      <c r="AY79" s="55"/>
    </row>
    <row r="80" spans="1:51" s="40" customFormat="1">
      <c r="A80" s="53">
        <v>46172</v>
      </c>
      <c r="B80" s="54" t="s">
        <v>102</v>
      </c>
      <c r="C80" s="54">
        <v>7736</v>
      </c>
      <c r="D80" s="54">
        <v>9966</v>
      </c>
      <c r="E80" s="55">
        <v>10556000</v>
      </c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>
        <v>10556000</v>
      </c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>
        <f t="shared" si="1"/>
        <v>10556000</v>
      </c>
      <c r="AY80" s="55"/>
    </row>
    <row r="81" spans="1:51" s="40" customFormat="1">
      <c r="A81" s="53">
        <v>46172</v>
      </c>
      <c r="B81" s="54" t="s">
        <v>104</v>
      </c>
      <c r="C81" s="54">
        <v>9986</v>
      </c>
      <c r="D81" s="54">
        <v>7750</v>
      </c>
      <c r="E81" s="55">
        <v>300000</v>
      </c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>
        <v>300000</v>
      </c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>
        <f t="shared" si="1"/>
        <v>300000</v>
      </c>
      <c r="AY81" s="55"/>
    </row>
    <row r="82" spans="1:51" s="40" customFormat="1">
      <c r="A82" s="53">
        <v>46172</v>
      </c>
      <c r="B82" s="54" t="s">
        <v>94</v>
      </c>
      <c r="C82" s="54">
        <v>7756</v>
      </c>
      <c r="D82" s="54">
        <v>10604</v>
      </c>
      <c r="E82" s="55">
        <v>110500700</v>
      </c>
      <c r="F82" s="55"/>
      <c r="G82" s="55"/>
      <c r="H82" s="55"/>
      <c r="I82" s="55"/>
      <c r="J82" s="55"/>
      <c r="K82" s="55"/>
      <c r="L82" s="55"/>
      <c r="M82" s="55">
        <v>110500700</v>
      </c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>
        <f t="shared" si="1"/>
        <v>110500700</v>
      </c>
      <c r="AY82" s="55"/>
    </row>
    <row r="83" spans="1:51" s="40" customFormat="1" ht="33.6" customHeight="1">
      <c r="A83" s="53">
        <v>46163</v>
      </c>
      <c r="B83" s="50" t="s">
        <v>303</v>
      </c>
      <c r="C83" s="54">
        <v>7702</v>
      </c>
      <c r="D83" s="54">
        <v>9850</v>
      </c>
      <c r="E83" s="55">
        <v>15000000</v>
      </c>
      <c r="F83" s="55">
        <v>2290800</v>
      </c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>
        <v>15000000</v>
      </c>
      <c r="AP83" s="55"/>
      <c r="AQ83" s="55"/>
      <c r="AR83" s="55"/>
      <c r="AS83" s="55"/>
      <c r="AT83" s="55"/>
      <c r="AU83" s="55"/>
      <c r="AV83" s="55"/>
      <c r="AW83" s="55"/>
      <c r="AX83" s="55">
        <f t="shared" si="1"/>
        <v>17290800</v>
      </c>
      <c r="AY83" s="55"/>
    </row>
    <row r="84" spans="1:51" s="40" customFormat="1">
      <c r="A84" s="53">
        <v>46164</v>
      </c>
      <c r="B84" s="54" t="s">
        <v>123</v>
      </c>
      <c r="C84" s="54">
        <v>7710</v>
      </c>
      <c r="D84" s="54">
        <v>9827</v>
      </c>
      <c r="E84" s="55">
        <v>1166540</v>
      </c>
      <c r="F84" s="55">
        <v>74460</v>
      </c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>
        <v>1166540</v>
      </c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>
        <f t="shared" si="1"/>
        <v>1241000</v>
      </c>
      <c r="AY84" s="55"/>
    </row>
    <row r="85" spans="1:51" s="40" customFormat="1">
      <c r="A85" s="53">
        <v>46164</v>
      </c>
      <c r="B85" s="54" t="s">
        <v>304</v>
      </c>
      <c r="C85" s="54">
        <v>7724</v>
      </c>
      <c r="D85" s="54">
        <v>9956</v>
      </c>
      <c r="E85" s="55">
        <v>1632600</v>
      </c>
      <c r="F85" s="55">
        <v>104400</v>
      </c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>
        <v>1632600</v>
      </c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>
        <f t="shared" si="1"/>
        <v>1737000</v>
      </c>
      <c r="AY85" s="55"/>
    </row>
    <row r="86" spans="1:51" s="40" customFormat="1">
      <c r="A86" s="53">
        <v>46162</v>
      </c>
      <c r="B86" s="54" t="s">
        <v>304</v>
      </c>
      <c r="C86" s="54">
        <v>7705</v>
      </c>
      <c r="D86" s="54">
        <v>9822</v>
      </c>
      <c r="E86" s="55">
        <v>2321800</v>
      </c>
      <c r="F86" s="55">
        <v>148200</v>
      </c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>
        <v>2321800</v>
      </c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>
        <f t="shared" si="1"/>
        <v>2470000</v>
      </c>
      <c r="AY86" s="55"/>
    </row>
    <row r="87" spans="1:51" s="40" customFormat="1">
      <c r="A87" s="53">
        <v>46149</v>
      </c>
      <c r="B87" s="54" t="s">
        <v>304</v>
      </c>
      <c r="C87" s="54">
        <v>7676</v>
      </c>
      <c r="D87" s="54">
        <v>9926</v>
      </c>
      <c r="E87" s="55">
        <v>5537540</v>
      </c>
      <c r="F87" s="55">
        <v>353460</v>
      </c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>
        <v>5537540</v>
      </c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>
        <f t="shared" si="1"/>
        <v>5891000</v>
      </c>
      <c r="AY87" s="55"/>
    </row>
    <row r="88" spans="1:51" s="40" customFormat="1" ht="18.95" customHeight="1">
      <c r="A88" s="53">
        <v>46141</v>
      </c>
      <c r="B88" s="50" t="s">
        <v>305</v>
      </c>
      <c r="C88" s="54">
        <v>7656</v>
      </c>
      <c r="D88" s="54">
        <v>9876</v>
      </c>
      <c r="E88" s="55">
        <v>200000</v>
      </c>
      <c r="F88" s="55"/>
      <c r="G88" s="55"/>
      <c r="H88" s="55"/>
      <c r="I88" s="55"/>
      <c r="J88" s="55"/>
      <c r="K88" s="55"/>
      <c r="L88" s="55"/>
      <c r="M88" s="55">
        <v>200000</v>
      </c>
      <c r="N88" s="55"/>
      <c r="O88" s="55"/>
      <c r="P88" s="55"/>
      <c r="Q88" s="55">
        <v>0</v>
      </c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>
        <f>G88+H88+I88+J88+K88+L88+M88+N88+O88+P88+Q88+R88+S88+T88+U88+V88+W88+X88+Y88+Z88+AA88+AB88+AC88+AD88+AE88+AF88+AG88+AH88+AI88+AJ88+AK88</f>
        <v>200000</v>
      </c>
      <c r="AS88" s="55"/>
      <c r="AT88" s="55"/>
      <c r="AU88" s="55"/>
      <c r="AV88" s="54"/>
      <c r="AW88" s="54"/>
      <c r="AX88" s="55">
        <f t="shared" si="1"/>
        <v>400000</v>
      </c>
      <c r="AY88" s="54"/>
    </row>
    <row r="89" spans="1:51" s="40" customFormat="1">
      <c r="A89" s="53">
        <v>46144</v>
      </c>
      <c r="B89" s="54" t="s">
        <v>306</v>
      </c>
      <c r="C89" s="54">
        <v>7661</v>
      </c>
      <c r="D89" s="54"/>
      <c r="E89" s="55">
        <v>2680000</v>
      </c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55"/>
      <c r="AT89" s="55"/>
      <c r="AU89" s="55"/>
      <c r="AV89" s="55">
        <v>2680000</v>
      </c>
      <c r="AW89" s="55"/>
      <c r="AX89" s="55">
        <f t="shared" si="1"/>
        <v>2680000</v>
      </c>
      <c r="AY89" s="55"/>
    </row>
    <row r="90" spans="1:51" s="40" customFormat="1" ht="33" customHeight="1">
      <c r="A90" s="53">
        <v>46144</v>
      </c>
      <c r="B90" s="50" t="s">
        <v>307</v>
      </c>
      <c r="C90" s="54">
        <v>7660</v>
      </c>
      <c r="D90" s="54">
        <v>9881</v>
      </c>
      <c r="E90" s="55">
        <v>1000000</v>
      </c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>
        <v>0</v>
      </c>
      <c r="U90" s="55"/>
      <c r="V90" s="55"/>
      <c r="W90" s="55"/>
      <c r="X90" s="55"/>
      <c r="Y90" s="55">
        <v>1000000</v>
      </c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  <c r="AQ90" s="55"/>
      <c r="AR90" s="55">
        <f>G90+H90+I90+J90+K90+L90+M90+N90+O90+P90+Q90+R90+S90+T90+U90+V90+W90+X90+Y90+Z90+AA90+AB90+AC90+AD90+AE90+AF90+AG90+AH90+AI90+AJ90+AK90</f>
        <v>1000000</v>
      </c>
      <c r="AS90" s="55"/>
      <c r="AT90" s="55"/>
      <c r="AU90" s="55"/>
      <c r="AV90" s="55"/>
      <c r="AW90" s="55"/>
      <c r="AX90" s="55">
        <f t="shared" si="1"/>
        <v>2000000</v>
      </c>
      <c r="AY90" s="54"/>
    </row>
    <row r="91" spans="1:51" s="40" customFormat="1">
      <c r="A91" s="54"/>
      <c r="B91" s="54" t="s">
        <v>17</v>
      </c>
      <c r="C91" s="54"/>
      <c r="D91" s="54"/>
      <c r="E91" s="55">
        <f>15000+2250+2000+300+20000+3000+15000+2250+68250+10238</f>
        <v>138288</v>
      </c>
      <c r="F91" s="55"/>
      <c r="G91" s="55"/>
      <c r="H91" s="55">
        <v>138288</v>
      </c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6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5"/>
      <c r="AO91" s="55"/>
      <c r="AP91" s="55"/>
      <c r="AQ91" s="55"/>
      <c r="AR91" s="55"/>
      <c r="AS91" s="55"/>
      <c r="AT91" s="55"/>
      <c r="AU91" s="55"/>
      <c r="AV91" s="55"/>
      <c r="AW91" s="55"/>
      <c r="AX91" s="55">
        <f t="shared" si="1"/>
        <v>138288</v>
      </c>
      <c r="AY91" s="55"/>
    </row>
    <row r="92" spans="1:51" s="217" customFormat="1" ht="18.600000000000001" customHeight="1">
      <c r="A92" s="222"/>
      <c r="B92" s="223" t="s">
        <v>5</v>
      </c>
      <c r="C92" s="222"/>
      <c r="D92" s="222"/>
      <c r="E92" s="224">
        <f>SUM(E7:E91)</f>
        <v>400038240</v>
      </c>
      <c r="F92" s="224">
        <f t="shared" ref="F92:AW92" si="2">SUM(F7:F91)</f>
        <v>3242250</v>
      </c>
      <c r="G92" s="224">
        <f t="shared" si="2"/>
        <v>3832500</v>
      </c>
      <c r="H92" s="224">
        <f t="shared" si="2"/>
        <v>138288</v>
      </c>
      <c r="I92" s="224">
        <f t="shared" si="2"/>
        <v>1205000</v>
      </c>
      <c r="J92" s="224">
        <f t="shared" si="2"/>
        <v>720000</v>
      </c>
      <c r="K92" s="224">
        <f t="shared" si="2"/>
        <v>2985000</v>
      </c>
      <c r="L92" s="224">
        <f t="shared" si="2"/>
        <v>600000</v>
      </c>
      <c r="M92" s="224">
        <f t="shared" si="2"/>
        <v>116934080</v>
      </c>
      <c r="N92" s="224">
        <f t="shared" si="2"/>
        <v>2248000</v>
      </c>
      <c r="O92" s="224">
        <f t="shared" si="2"/>
        <v>3100000</v>
      </c>
      <c r="P92" s="224">
        <f t="shared" si="2"/>
        <v>460000</v>
      </c>
      <c r="Q92" s="224">
        <f t="shared" si="2"/>
        <v>5627540</v>
      </c>
      <c r="R92" s="224">
        <f t="shared" si="2"/>
        <v>1117800</v>
      </c>
      <c r="S92" s="224">
        <f t="shared" si="2"/>
        <v>22389000</v>
      </c>
      <c r="T92" s="224">
        <f t="shared" si="2"/>
        <v>749000</v>
      </c>
      <c r="U92" s="224">
        <f t="shared" si="2"/>
        <v>32813000</v>
      </c>
      <c r="V92" s="224">
        <f t="shared" si="2"/>
        <v>27534954</v>
      </c>
      <c r="W92" s="224">
        <f t="shared" si="2"/>
        <v>4854000</v>
      </c>
      <c r="X92" s="224">
        <f t="shared" si="2"/>
        <v>530000</v>
      </c>
      <c r="Y92" s="224">
        <f t="shared" si="2"/>
        <v>1300000</v>
      </c>
      <c r="Z92" s="224">
        <f t="shared" si="2"/>
        <v>621000</v>
      </c>
      <c r="AA92" s="224">
        <f t="shared" si="2"/>
        <v>4260000</v>
      </c>
      <c r="AB92" s="224">
        <f t="shared" si="2"/>
        <v>1500000</v>
      </c>
      <c r="AC92" s="224">
        <f t="shared" si="2"/>
        <v>8839156</v>
      </c>
      <c r="AD92" s="224">
        <f t="shared" si="2"/>
        <v>1800000</v>
      </c>
      <c r="AE92" s="224">
        <f t="shared" si="2"/>
        <v>7366000</v>
      </c>
      <c r="AF92" s="224">
        <f t="shared" si="2"/>
        <v>1105000</v>
      </c>
      <c r="AG92" s="224">
        <f t="shared" si="2"/>
        <v>327732</v>
      </c>
      <c r="AH92" s="224">
        <f t="shared" si="2"/>
        <v>51100000</v>
      </c>
      <c r="AI92" s="224">
        <f t="shared" si="2"/>
        <v>240000</v>
      </c>
      <c r="AJ92" s="224">
        <f t="shared" si="2"/>
        <v>9190000</v>
      </c>
      <c r="AK92" s="224">
        <f t="shared" si="2"/>
        <v>25550000</v>
      </c>
      <c r="AL92" s="224">
        <f t="shared" si="2"/>
        <v>25536000</v>
      </c>
      <c r="AM92" s="224">
        <f t="shared" si="2"/>
        <v>0</v>
      </c>
      <c r="AN92" s="224">
        <f t="shared" si="2"/>
        <v>1612570</v>
      </c>
      <c r="AO92" s="224">
        <f t="shared" si="2"/>
        <v>15000000</v>
      </c>
      <c r="AP92" s="224">
        <f t="shared" si="2"/>
        <v>2820000</v>
      </c>
      <c r="AQ92" s="224">
        <f t="shared" si="2"/>
        <v>800000</v>
      </c>
      <c r="AR92" s="224">
        <f t="shared" si="2"/>
        <v>5978620</v>
      </c>
      <c r="AS92" s="224">
        <f t="shared" si="2"/>
        <v>5000000</v>
      </c>
      <c r="AT92" s="224">
        <f t="shared" si="2"/>
        <v>1477000</v>
      </c>
      <c r="AU92" s="224">
        <f t="shared" si="2"/>
        <v>1050000</v>
      </c>
      <c r="AV92" s="224">
        <f t="shared" si="2"/>
        <v>2680000</v>
      </c>
      <c r="AW92" s="224">
        <f t="shared" si="2"/>
        <v>310000</v>
      </c>
      <c r="AX92" s="225">
        <f t="shared" ref="AX92:AX96" si="3">F92+G92+H92+I92+J92+K92+L92+M92+N92+O92+P92+Q92+R92+S92+T92+U92+V92+W92+X92+Y92+Z92+AA92+AB92+AC92+AD92+AE92+AF92+AG92+AH92+AI92+AJ92+AK92+AL92+AM92+AN92+AO92+AP92+AQ92+AR92+AS92+AT92+AU92</f>
        <v>403553490</v>
      </c>
      <c r="AY92" s="224"/>
    </row>
    <row r="93" spans="1:51">
      <c r="A93" s="188"/>
      <c r="B93" s="188"/>
      <c r="C93" s="188"/>
      <c r="D93" s="188"/>
      <c r="E93" s="189"/>
      <c r="F93" s="189"/>
      <c r="G93" s="189"/>
      <c r="H93" s="189"/>
      <c r="I93" s="189"/>
      <c r="J93" s="189"/>
      <c r="K93" s="189"/>
      <c r="L93" s="189"/>
      <c r="M93" s="189"/>
      <c r="N93" s="189"/>
      <c r="O93" s="189"/>
      <c r="P93" s="189"/>
      <c r="Q93" s="189"/>
      <c r="R93" s="189"/>
      <c r="S93" s="189"/>
      <c r="T93" s="189"/>
      <c r="U93" s="189"/>
      <c r="V93" s="189"/>
      <c r="W93" s="189"/>
      <c r="X93" s="189"/>
      <c r="Y93" s="189"/>
      <c r="Z93" s="189"/>
      <c r="AA93" s="189"/>
      <c r="AB93" s="189"/>
      <c r="AC93" s="189"/>
      <c r="AD93" s="189"/>
      <c r="AE93" s="189"/>
      <c r="AF93" s="189"/>
      <c r="AG93" s="189"/>
      <c r="AH93" s="189"/>
      <c r="AI93" s="189"/>
      <c r="AJ93" s="189"/>
      <c r="AK93" s="189"/>
      <c r="AL93" s="189"/>
      <c r="AM93" s="189"/>
      <c r="AN93" s="189"/>
      <c r="AO93" s="189"/>
      <c r="AP93" s="189"/>
      <c r="AQ93" s="189"/>
      <c r="AR93" s="189"/>
      <c r="AS93" s="189"/>
      <c r="AT93" s="189"/>
      <c r="AU93" s="189"/>
      <c r="AV93" s="189"/>
      <c r="AW93" s="189"/>
      <c r="AX93" s="55">
        <f t="shared" si="3"/>
        <v>0</v>
      </c>
      <c r="AY93" s="189"/>
    </row>
    <row r="94" spans="1:51">
      <c r="A94" s="188"/>
      <c r="B94" s="188"/>
      <c r="C94" s="188"/>
      <c r="D94" s="188"/>
      <c r="E94" s="189"/>
      <c r="F94" s="189"/>
      <c r="G94" s="189"/>
      <c r="H94" s="189"/>
      <c r="I94" s="189"/>
      <c r="J94" s="189"/>
      <c r="K94" s="189"/>
      <c r="L94" s="189"/>
      <c r="M94" s="189"/>
      <c r="N94" s="189"/>
      <c r="O94" s="189"/>
      <c r="P94" s="189"/>
      <c r="Q94" s="189"/>
      <c r="R94" s="189"/>
      <c r="S94" s="189"/>
      <c r="T94" s="189"/>
      <c r="U94" s="189"/>
      <c r="V94" s="189"/>
      <c r="W94" s="189"/>
      <c r="X94" s="189"/>
      <c r="Y94" s="189"/>
      <c r="Z94" s="189"/>
      <c r="AA94" s="189"/>
      <c r="AB94" s="189"/>
      <c r="AC94" s="189"/>
      <c r="AD94" s="189"/>
      <c r="AE94" s="189"/>
      <c r="AF94" s="189"/>
      <c r="AG94" s="189"/>
      <c r="AH94" s="189"/>
      <c r="AI94" s="189"/>
      <c r="AJ94" s="189"/>
      <c r="AK94" s="189"/>
      <c r="AL94" s="189"/>
      <c r="AM94" s="189"/>
      <c r="AN94" s="189"/>
      <c r="AO94" s="189"/>
      <c r="AP94" s="189"/>
      <c r="AQ94" s="189"/>
      <c r="AR94" s="189"/>
      <c r="AS94" s="189"/>
      <c r="AT94" s="189"/>
      <c r="AU94" s="189"/>
      <c r="AV94" s="189"/>
      <c r="AW94" s="189"/>
      <c r="AX94" s="55">
        <f t="shared" si="3"/>
        <v>0</v>
      </c>
      <c r="AY94" s="189"/>
    </row>
    <row r="95" spans="1:51">
      <c r="A95" s="188"/>
      <c r="B95" s="188"/>
      <c r="C95" s="188"/>
      <c r="D95" s="188"/>
      <c r="E95" s="189"/>
      <c r="F95" s="189"/>
      <c r="G95" s="189"/>
      <c r="H95" s="189"/>
      <c r="I95" s="189"/>
      <c r="J95" s="189"/>
      <c r="K95" s="189"/>
      <c r="L95" s="189"/>
      <c r="M95" s="189"/>
      <c r="N95" s="189"/>
      <c r="O95" s="189"/>
      <c r="P95" s="189"/>
      <c r="Q95" s="189"/>
      <c r="R95" s="189"/>
      <c r="S95" s="189"/>
      <c r="T95" s="189"/>
      <c r="U95" s="189"/>
      <c r="V95" s="189"/>
      <c r="W95" s="189"/>
      <c r="X95" s="189"/>
      <c r="Y95" s="189"/>
      <c r="Z95" s="189"/>
      <c r="AA95" s="189"/>
      <c r="AB95" s="189"/>
      <c r="AC95" s="189"/>
      <c r="AD95" s="189"/>
      <c r="AE95" s="189"/>
      <c r="AF95" s="189"/>
      <c r="AG95" s="189"/>
      <c r="AH95" s="189"/>
      <c r="AI95" s="189"/>
      <c r="AJ95" s="189"/>
      <c r="AK95" s="189"/>
      <c r="AL95" s="189"/>
      <c r="AM95" s="189"/>
      <c r="AN95" s="189"/>
      <c r="AO95" s="189"/>
      <c r="AP95" s="189"/>
      <c r="AQ95" s="189"/>
      <c r="AR95" s="189"/>
      <c r="AS95" s="189"/>
      <c r="AT95" s="189"/>
      <c r="AU95" s="189"/>
      <c r="AV95" s="189"/>
      <c r="AW95" s="189"/>
      <c r="AX95" s="55">
        <f t="shared" si="3"/>
        <v>0</v>
      </c>
      <c r="AY95" s="189"/>
    </row>
    <row r="96" spans="1:51">
      <c r="A96" s="188"/>
      <c r="B96" s="188"/>
      <c r="C96" s="188"/>
      <c r="D96" s="188"/>
      <c r="E96" s="189"/>
      <c r="F96" s="189"/>
      <c r="G96" s="189"/>
      <c r="H96" s="189"/>
      <c r="I96" s="189"/>
      <c r="J96" s="189"/>
      <c r="K96" s="189"/>
      <c r="L96" s="189"/>
      <c r="M96" s="189"/>
      <c r="N96" s="189"/>
      <c r="O96" s="189"/>
      <c r="P96" s="189"/>
      <c r="Q96" s="189"/>
      <c r="R96" s="189"/>
      <c r="S96" s="189"/>
      <c r="T96" s="189"/>
      <c r="U96" s="189"/>
      <c r="V96" s="189"/>
      <c r="W96" s="189"/>
      <c r="X96" s="189"/>
      <c r="Y96" s="189"/>
      <c r="Z96" s="189"/>
      <c r="AA96" s="189"/>
      <c r="AB96" s="189"/>
      <c r="AC96" s="189"/>
      <c r="AD96" s="189"/>
      <c r="AE96" s="189"/>
      <c r="AF96" s="189"/>
      <c r="AG96" s="189"/>
      <c r="AH96" s="189"/>
      <c r="AI96" s="189"/>
      <c r="AJ96" s="189"/>
      <c r="AK96" s="189"/>
      <c r="AL96" s="189"/>
      <c r="AM96" s="189"/>
      <c r="AN96" s="189"/>
      <c r="AO96" s="189"/>
      <c r="AP96" s="189"/>
      <c r="AQ96" s="189"/>
      <c r="AR96" s="189"/>
      <c r="AS96" s="189"/>
      <c r="AT96" s="189"/>
      <c r="AU96" s="189"/>
      <c r="AV96" s="189"/>
      <c r="AW96" s="189"/>
      <c r="AX96" s="55">
        <f t="shared" si="3"/>
        <v>0</v>
      </c>
      <c r="AY96" s="189"/>
    </row>
    <row r="97" spans="1:51">
      <c r="A97" s="188"/>
      <c r="B97" s="188"/>
      <c r="C97" s="188"/>
      <c r="D97" s="188"/>
      <c r="E97" s="189"/>
      <c r="F97" s="189"/>
      <c r="G97" s="189"/>
      <c r="H97" s="189"/>
      <c r="I97" s="189"/>
      <c r="J97" s="189"/>
      <c r="K97" s="189"/>
      <c r="L97" s="189"/>
      <c r="M97" s="189"/>
      <c r="N97" s="189"/>
      <c r="O97" s="189"/>
      <c r="P97" s="189"/>
      <c r="Q97" s="189"/>
      <c r="R97" s="189"/>
      <c r="S97" s="189"/>
      <c r="T97" s="189"/>
      <c r="U97" s="189"/>
      <c r="V97" s="189"/>
      <c r="W97" s="189"/>
      <c r="X97" s="189"/>
      <c r="Y97" s="189"/>
      <c r="Z97" s="189"/>
      <c r="AA97" s="189"/>
      <c r="AB97" s="189"/>
      <c r="AC97" s="189"/>
      <c r="AD97" s="189"/>
      <c r="AE97" s="189"/>
      <c r="AF97" s="189"/>
      <c r="AG97" s="189"/>
      <c r="AH97" s="189"/>
      <c r="AI97" s="189"/>
      <c r="AJ97" s="189"/>
      <c r="AK97" s="189"/>
      <c r="AL97" s="189"/>
      <c r="AM97" s="189"/>
      <c r="AN97" s="189"/>
      <c r="AO97" s="189"/>
      <c r="AP97" s="189"/>
      <c r="AQ97" s="189"/>
      <c r="AR97" s="189"/>
      <c r="AS97" s="189"/>
      <c r="AT97" s="189"/>
      <c r="AU97" s="189"/>
      <c r="AV97" s="189"/>
      <c r="AW97" s="189"/>
      <c r="AX97" s="189">
        <f t="shared" ref="AX97:AX119" si="4">M97+N97+O97+P97+Q97+R97+S97+T97+U97+V97+W97+X97+Y97+Z97+AA97+AB97</f>
        <v>0</v>
      </c>
      <c r="AY97" s="189"/>
    </row>
    <row r="98" spans="1:51">
      <c r="A98" s="188"/>
      <c r="B98" s="188"/>
      <c r="C98" s="188"/>
      <c r="D98" s="188"/>
      <c r="E98" s="189"/>
      <c r="F98" s="189"/>
      <c r="G98" s="189"/>
      <c r="H98" s="189"/>
      <c r="I98" s="189"/>
      <c r="J98" s="189"/>
      <c r="K98" s="189"/>
      <c r="L98" s="189"/>
      <c r="M98" s="189"/>
      <c r="N98" s="189"/>
      <c r="O98" s="189"/>
      <c r="P98" s="189"/>
      <c r="Q98" s="189"/>
      <c r="R98" s="189"/>
      <c r="S98" s="189"/>
      <c r="T98" s="189"/>
      <c r="U98" s="189"/>
      <c r="V98" s="189"/>
      <c r="W98" s="189"/>
      <c r="X98" s="189"/>
      <c r="Y98" s="189"/>
      <c r="Z98" s="189"/>
      <c r="AA98" s="189"/>
      <c r="AB98" s="189"/>
      <c r="AC98" s="189"/>
      <c r="AD98" s="189"/>
      <c r="AE98" s="189"/>
      <c r="AF98" s="189"/>
      <c r="AG98" s="189"/>
      <c r="AH98" s="189"/>
      <c r="AI98" s="189"/>
      <c r="AJ98" s="189"/>
      <c r="AK98" s="189"/>
      <c r="AL98" s="189"/>
      <c r="AM98" s="189"/>
      <c r="AN98" s="189"/>
      <c r="AO98" s="189"/>
      <c r="AP98" s="189"/>
      <c r="AQ98" s="189"/>
      <c r="AR98" s="189"/>
      <c r="AS98" s="189"/>
      <c r="AT98" s="189"/>
      <c r="AU98" s="189"/>
      <c r="AV98" s="189"/>
      <c r="AW98" s="189"/>
      <c r="AX98" s="189">
        <f t="shared" si="4"/>
        <v>0</v>
      </c>
      <c r="AY98" s="189"/>
    </row>
    <row r="99" spans="1:51">
      <c r="A99" s="188"/>
      <c r="B99" s="188"/>
      <c r="C99" s="188"/>
      <c r="D99" s="188"/>
      <c r="E99" s="189"/>
      <c r="F99" s="189"/>
      <c r="G99" s="189"/>
      <c r="H99" s="189"/>
      <c r="I99" s="189"/>
      <c r="J99" s="189"/>
      <c r="K99" s="189"/>
      <c r="L99" s="189"/>
      <c r="M99" s="189"/>
      <c r="N99" s="189"/>
      <c r="O99" s="189"/>
      <c r="P99" s="189"/>
      <c r="Q99" s="189"/>
      <c r="R99" s="189"/>
      <c r="S99" s="189"/>
      <c r="T99" s="189"/>
      <c r="U99" s="189"/>
      <c r="V99" s="189"/>
      <c r="W99" s="189"/>
      <c r="X99" s="189"/>
      <c r="Y99" s="189"/>
      <c r="Z99" s="189"/>
      <c r="AA99" s="189"/>
      <c r="AB99" s="189"/>
      <c r="AC99" s="189"/>
      <c r="AD99" s="189"/>
      <c r="AE99" s="189"/>
      <c r="AF99" s="189"/>
      <c r="AG99" s="189"/>
      <c r="AH99" s="189"/>
      <c r="AI99" s="189"/>
      <c r="AJ99" s="189"/>
      <c r="AK99" s="189"/>
      <c r="AL99" s="189"/>
      <c r="AM99" s="189"/>
      <c r="AN99" s="189"/>
      <c r="AO99" s="189"/>
      <c r="AP99" s="189"/>
      <c r="AQ99" s="189"/>
      <c r="AR99" s="189"/>
      <c r="AS99" s="189"/>
      <c r="AT99" s="189"/>
      <c r="AU99" s="189"/>
      <c r="AV99" s="189"/>
      <c r="AW99" s="189"/>
      <c r="AX99" s="189">
        <f t="shared" si="4"/>
        <v>0</v>
      </c>
      <c r="AY99" s="189"/>
    </row>
    <row r="100" spans="1:51">
      <c r="A100" s="188"/>
      <c r="B100" s="188"/>
      <c r="C100" s="188"/>
      <c r="D100" s="188"/>
      <c r="E100" s="189"/>
      <c r="F100" s="189"/>
      <c r="G100" s="189"/>
      <c r="H100" s="189"/>
      <c r="I100" s="189"/>
      <c r="J100" s="189"/>
      <c r="K100" s="189"/>
      <c r="L100" s="189"/>
      <c r="M100" s="189"/>
      <c r="N100" s="189"/>
      <c r="O100" s="189"/>
      <c r="P100" s="189"/>
      <c r="Q100" s="189"/>
      <c r="R100" s="189"/>
      <c r="S100" s="189"/>
      <c r="T100" s="189"/>
      <c r="U100" s="189"/>
      <c r="V100" s="189"/>
      <c r="W100" s="189"/>
      <c r="X100" s="189"/>
      <c r="Y100" s="189"/>
      <c r="Z100" s="189"/>
      <c r="AA100" s="189"/>
      <c r="AB100" s="189"/>
      <c r="AC100" s="189"/>
      <c r="AD100" s="189"/>
      <c r="AE100" s="189"/>
      <c r="AF100" s="189"/>
      <c r="AG100" s="189"/>
      <c r="AH100" s="189"/>
      <c r="AI100" s="189"/>
      <c r="AJ100" s="189"/>
      <c r="AK100" s="189"/>
      <c r="AL100" s="189"/>
      <c r="AM100" s="189"/>
      <c r="AN100" s="189"/>
      <c r="AO100" s="189"/>
      <c r="AP100" s="189"/>
      <c r="AQ100" s="189"/>
      <c r="AR100" s="189"/>
      <c r="AS100" s="189"/>
      <c r="AT100" s="189"/>
      <c r="AU100" s="189"/>
      <c r="AV100" s="189"/>
      <c r="AW100" s="189"/>
      <c r="AX100" s="189">
        <f t="shared" si="4"/>
        <v>0</v>
      </c>
      <c r="AY100" s="189"/>
    </row>
    <row r="101" spans="1:51">
      <c r="A101" s="188"/>
      <c r="B101" s="188"/>
      <c r="C101" s="188"/>
      <c r="D101" s="188"/>
      <c r="E101" s="189"/>
      <c r="F101" s="189"/>
      <c r="G101" s="189"/>
      <c r="H101" s="189"/>
      <c r="I101" s="189"/>
      <c r="J101" s="189"/>
      <c r="K101" s="189"/>
      <c r="L101" s="189"/>
      <c r="M101" s="189"/>
      <c r="N101" s="189"/>
      <c r="O101" s="189"/>
      <c r="P101" s="189"/>
      <c r="Q101" s="189"/>
      <c r="R101" s="189"/>
      <c r="S101" s="189"/>
      <c r="T101" s="189"/>
      <c r="U101" s="189"/>
      <c r="V101" s="189"/>
      <c r="W101" s="189"/>
      <c r="X101" s="189"/>
      <c r="Y101" s="189"/>
      <c r="Z101" s="189"/>
      <c r="AA101" s="189"/>
      <c r="AB101" s="189"/>
      <c r="AC101" s="189"/>
      <c r="AD101" s="189"/>
      <c r="AE101" s="189"/>
      <c r="AF101" s="189"/>
      <c r="AG101" s="189"/>
      <c r="AH101" s="189"/>
      <c r="AI101" s="189"/>
      <c r="AJ101" s="189"/>
      <c r="AK101" s="189"/>
      <c r="AL101" s="189"/>
      <c r="AM101" s="189"/>
      <c r="AN101" s="189"/>
      <c r="AO101" s="189"/>
      <c r="AP101" s="189"/>
      <c r="AQ101" s="189"/>
      <c r="AR101" s="189"/>
      <c r="AS101" s="189"/>
      <c r="AT101" s="189"/>
      <c r="AU101" s="189"/>
      <c r="AV101" s="189"/>
      <c r="AW101" s="189"/>
      <c r="AX101" s="189">
        <f t="shared" si="4"/>
        <v>0</v>
      </c>
      <c r="AY101" s="189"/>
    </row>
    <row r="102" spans="1:51">
      <c r="A102" s="188"/>
      <c r="B102" s="188"/>
      <c r="C102" s="188"/>
      <c r="D102" s="188"/>
      <c r="E102" s="189"/>
      <c r="F102" s="189"/>
      <c r="G102" s="189"/>
      <c r="H102" s="189"/>
      <c r="I102" s="189"/>
      <c r="J102" s="189"/>
      <c r="K102" s="189"/>
      <c r="L102" s="189"/>
      <c r="M102" s="189"/>
      <c r="N102" s="189"/>
      <c r="O102" s="189"/>
      <c r="P102" s="189"/>
      <c r="Q102" s="189"/>
      <c r="R102" s="189"/>
      <c r="S102" s="189"/>
      <c r="T102" s="189"/>
      <c r="U102" s="189"/>
      <c r="V102" s="189"/>
      <c r="W102" s="189"/>
      <c r="X102" s="189"/>
      <c r="Y102" s="189"/>
      <c r="Z102" s="189"/>
      <c r="AA102" s="189"/>
      <c r="AB102" s="189"/>
      <c r="AC102" s="189"/>
      <c r="AD102" s="189"/>
      <c r="AE102" s="189"/>
      <c r="AF102" s="189"/>
      <c r="AG102" s="189"/>
      <c r="AH102" s="189"/>
      <c r="AI102" s="189"/>
      <c r="AJ102" s="189"/>
      <c r="AK102" s="189"/>
      <c r="AL102" s="189"/>
      <c r="AM102" s="189"/>
      <c r="AN102" s="189"/>
      <c r="AO102" s="189"/>
      <c r="AP102" s="189"/>
      <c r="AQ102" s="189"/>
      <c r="AR102" s="189"/>
      <c r="AS102" s="189"/>
      <c r="AT102" s="189"/>
      <c r="AU102" s="189"/>
      <c r="AV102" s="189"/>
      <c r="AW102" s="189"/>
      <c r="AX102" s="189">
        <f t="shared" si="4"/>
        <v>0</v>
      </c>
      <c r="AY102" s="189"/>
    </row>
    <row r="103" spans="1:51">
      <c r="A103" s="188"/>
      <c r="B103" s="188"/>
      <c r="C103" s="188"/>
      <c r="D103" s="188"/>
      <c r="E103" s="189"/>
      <c r="F103" s="189"/>
      <c r="G103" s="189"/>
      <c r="H103" s="189"/>
      <c r="I103" s="189"/>
      <c r="J103" s="189"/>
      <c r="K103" s="189"/>
      <c r="L103" s="189"/>
      <c r="M103" s="189"/>
      <c r="N103" s="189"/>
      <c r="O103" s="189"/>
      <c r="P103" s="189"/>
      <c r="Q103" s="189"/>
      <c r="R103" s="189"/>
      <c r="S103" s="189"/>
      <c r="T103" s="189"/>
      <c r="U103" s="189"/>
      <c r="V103" s="189"/>
      <c r="W103" s="189"/>
      <c r="X103" s="189"/>
      <c r="Y103" s="189"/>
      <c r="Z103" s="189"/>
      <c r="AA103" s="189"/>
      <c r="AB103" s="189"/>
      <c r="AC103" s="189"/>
      <c r="AD103" s="189"/>
      <c r="AE103" s="189"/>
      <c r="AF103" s="189"/>
      <c r="AG103" s="189"/>
      <c r="AH103" s="189"/>
      <c r="AI103" s="189"/>
      <c r="AJ103" s="189"/>
      <c r="AK103" s="189"/>
      <c r="AL103" s="189"/>
      <c r="AM103" s="189"/>
      <c r="AN103" s="189"/>
      <c r="AO103" s="189"/>
      <c r="AP103" s="189"/>
      <c r="AQ103" s="189"/>
      <c r="AR103" s="189"/>
      <c r="AS103" s="189"/>
      <c r="AT103" s="189"/>
      <c r="AU103" s="189"/>
      <c r="AV103" s="189"/>
      <c r="AW103" s="189"/>
      <c r="AX103" s="189">
        <f t="shared" si="4"/>
        <v>0</v>
      </c>
      <c r="AY103" s="189"/>
    </row>
    <row r="104" spans="1:51">
      <c r="A104" s="188"/>
      <c r="B104" s="188"/>
      <c r="C104" s="188"/>
      <c r="D104" s="188"/>
      <c r="E104" s="189"/>
      <c r="F104" s="189"/>
      <c r="G104" s="189"/>
      <c r="H104" s="189"/>
      <c r="I104" s="189"/>
      <c r="J104" s="189"/>
      <c r="K104" s="189"/>
      <c r="L104" s="189"/>
      <c r="M104" s="189"/>
      <c r="N104" s="189"/>
      <c r="O104" s="189"/>
      <c r="P104" s="189"/>
      <c r="Q104" s="189"/>
      <c r="R104" s="189"/>
      <c r="S104" s="189"/>
      <c r="T104" s="189"/>
      <c r="U104" s="189"/>
      <c r="V104" s="189"/>
      <c r="W104" s="189"/>
      <c r="X104" s="189"/>
      <c r="Y104" s="189"/>
      <c r="Z104" s="189"/>
      <c r="AA104" s="189"/>
      <c r="AB104" s="189"/>
      <c r="AC104" s="189"/>
      <c r="AD104" s="189"/>
      <c r="AE104" s="189"/>
      <c r="AF104" s="189"/>
      <c r="AG104" s="189"/>
      <c r="AH104" s="189"/>
      <c r="AI104" s="189"/>
      <c r="AJ104" s="189"/>
      <c r="AK104" s="189"/>
      <c r="AL104" s="189"/>
      <c r="AM104" s="189"/>
      <c r="AN104" s="189"/>
      <c r="AO104" s="189"/>
      <c r="AP104" s="189"/>
      <c r="AQ104" s="189"/>
      <c r="AR104" s="189"/>
      <c r="AS104" s="189"/>
      <c r="AT104" s="189"/>
      <c r="AU104" s="189"/>
      <c r="AV104" s="189"/>
      <c r="AW104" s="189"/>
      <c r="AX104" s="189">
        <f t="shared" si="4"/>
        <v>0</v>
      </c>
      <c r="AY104" s="189"/>
    </row>
    <row r="105" spans="1:51">
      <c r="A105" s="188"/>
      <c r="B105" s="188"/>
      <c r="C105" s="188"/>
      <c r="D105" s="188"/>
      <c r="E105" s="189"/>
      <c r="F105" s="189"/>
      <c r="G105" s="189"/>
      <c r="H105" s="189"/>
      <c r="I105" s="189"/>
      <c r="J105" s="189"/>
      <c r="K105" s="189"/>
      <c r="L105" s="189"/>
      <c r="M105" s="189"/>
      <c r="N105" s="189"/>
      <c r="O105" s="189"/>
      <c r="P105" s="189"/>
      <c r="Q105" s="189"/>
      <c r="R105" s="189"/>
      <c r="S105" s="189"/>
      <c r="T105" s="189"/>
      <c r="U105" s="189"/>
      <c r="V105" s="189"/>
      <c r="W105" s="189"/>
      <c r="X105" s="189"/>
      <c r="Y105" s="189"/>
      <c r="Z105" s="189"/>
      <c r="AA105" s="189"/>
      <c r="AB105" s="189"/>
      <c r="AC105" s="189"/>
      <c r="AD105" s="189"/>
      <c r="AE105" s="189"/>
      <c r="AF105" s="189"/>
      <c r="AG105" s="189"/>
      <c r="AH105" s="189"/>
      <c r="AI105" s="189"/>
      <c r="AJ105" s="189"/>
      <c r="AK105" s="189"/>
      <c r="AL105" s="189"/>
      <c r="AM105" s="189"/>
      <c r="AN105" s="189"/>
      <c r="AO105" s="189"/>
      <c r="AP105" s="189"/>
      <c r="AQ105" s="189"/>
      <c r="AR105" s="189"/>
      <c r="AS105" s="189"/>
      <c r="AT105" s="189"/>
      <c r="AU105" s="189"/>
      <c r="AV105" s="189"/>
      <c r="AW105" s="189"/>
      <c r="AX105" s="189">
        <f t="shared" si="4"/>
        <v>0</v>
      </c>
      <c r="AY105" s="189"/>
    </row>
    <row r="106" spans="1:51">
      <c r="A106" s="188"/>
      <c r="B106" s="188"/>
      <c r="C106" s="188"/>
      <c r="D106" s="188"/>
      <c r="E106" s="189"/>
      <c r="F106" s="189"/>
      <c r="G106" s="189"/>
      <c r="H106" s="189"/>
      <c r="I106" s="189"/>
      <c r="J106" s="189"/>
      <c r="K106" s="189"/>
      <c r="L106" s="189"/>
      <c r="M106" s="189"/>
      <c r="N106" s="189"/>
      <c r="O106" s="189"/>
      <c r="P106" s="189"/>
      <c r="Q106" s="189"/>
      <c r="R106" s="189"/>
      <c r="S106" s="189"/>
      <c r="T106" s="189"/>
      <c r="U106" s="189"/>
      <c r="V106" s="189"/>
      <c r="W106" s="189"/>
      <c r="X106" s="189"/>
      <c r="Y106" s="189"/>
      <c r="Z106" s="189"/>
      <c r="AA106" s="189"/>
      <c r="AB106" s="189"/>
      <c r="AC106" s="189"/>
      <c r="AD106" s="189"/>
      <c r="AE106" s="189"/>
      <c r="AF106" s="189"/>
      <c r="AG106" s="189"/>
      <c r="AH106" s="189"/>
      <c r="AI106" s="189"/>
      <c r="AJ106" s="189"/>
      <c r="AK106" s="189"/>
      <c r="AL106" s="189"/>
      <c r="AM106" s="189"/>
      <c r="AN106" s="189"/>
      <c r="AO106" s="189"/>
      <c r="AP106" s="189"/>
      <c r="AQ106" s="189"/>
      <c r="AR106" s="189"/>
      <c r="AS106" s="189"/>
      <c r="AT106" s="189"/>
      <c r="AU106" s="189"/>
      <c r="AV106" s="189"/>
      <c r="AW106" s="189"/>
      <c r="AX106" s="189">
        <f t="shared" si="4"/>
        <v>0</v>
      </c>
      <c r="AY106" s="189"/>
    </row>
    <row r="107" spans="1:51">
      <c r="A107" s="188"/>
      <c r="B107" s="188"/>
      <c r="C107" s="188"/>
      <c r="D107" s="188"/>
      <c r="E107" s="189"/>
      <c r="F107" s="189"/>
      <c r="G107" s="189"/>
      <c r="H107" s="189"/>
      <c r="I107" s="189"/>
      <c r="J107" s="189"/>
      <c r="K107" s="189"/>
      <c r="L107" s="189"/>
      <c r="M107" s="189"/>
      <c r="N107" s="189"/>
      <c r="O107" s="189"/>
      <c r="P107" s="189"/>
      <c r="Q107" s="189"/>
      <c r="R107" s="189"/>
      <c r="S107" s="189"/>
      <c r="T107" s="189"/>
      <c r="U107" s="189"/>
      <c r="V107" s="189"/>
      <c r="W107" s="189"/>
      <c r="X107" s="189"/>
      <c r="Y107" s="189"/>
      <c r="Z107" s="189"/>
      <c r="AA107" s="189"/>
      <c r="AB107" s="189"/>
      <c r="AC107" s="189"/>
      <c r="AD107" s="189"/>
      <c r="AE107" s="189"/>
      <c r="AF107" s="189"/>
      <c r="AG107" s="189"/>
      <c r="AH107" s="189"/>
      <c r="AI107" s="189"/>
      <c r="AJ107" s="189"/>
      <c r="AK107" s="189"/>
      <c r="AL107" s="189"/>
      <c r="AM107" s="189"/>
      <c r="AN107" s="189"/>
      <c r="AO107" s="189"/>
      <c r="AP107" s="189"/>
      <c r="AQ107" s="189"/>
      <c r="AR107" s="189"/>
      <c r="AS107" s="189"/>
      <c r="AT107" s="189"/>
      <c r="AU107" s="189"/>
      <c r="AV107" s="189"/>
      <c r="AW107" s="189"/>
      <c r="AX107" s="189">
        <f t="shared" si="4"/>
        <v>0</v>
      </c>
      <c r="AY107" s="189"/>
    </row>
    <row r="108" spans="1:51">
      <c r="A108" s="188"/>
      <c r="B108" s="188"/>
      <c r="C108" s="188"/>
      <c r="D108" s="188"/>
      <c r="E108" s="189"/>
      <c r="F108" s="189"/>
      <c r="G108" s="189"/>
      <c r="H108" s="189"/>
      <c r="I108" s="189"/>
      <c r="J108" s="189"/>
      <c r="K108" s="189"/>
      <c r="L108" s="189"/>
      <c r="M108" s="189"/>
      <c r="N108" s="189"/>
      <c r="O108" s="189"/>
      <c r="P108" s="189"/>
      <c r="Q108" s="189"/>
      <c r="R108" s="189"/>
      <c r="S108" s="189"/>
      <c r="T108" s="189"/>
      <c r="U108" s="189"/>
      <c r="V108" s="189"/>
      <c r="W108" s="189"/>
      <c r="X108" s="189"/>
      <c r="Y108" s="189"/>
      <c r="Z108" s="189"/>
      <c r="AA108" s="189"/>
      <c r="AB108" s="189"/>
      <c r="AC108" s="189"/>
      <c r="AD108" s="189"/>
      <c r="AE108" s="189"/>
      <c r="AF108" s="189"/>
      <c r="AG108" s="189"/>
      <c r="AH108" s="189"/>
      <c r="AI108" s="189"/>
      <c r="AJ108" s="189"/>
      <c r="AK108" s="189"/>
      <c r="AL108" s="189"/>
      <c r="AM108" s="189"/>
      <c r="AN108" s="189"/>
      <c r="AO108" s="189"/>
      <c r="AP108" s="189"/>
      <c r="AQ108" s="189"/>
      <c r="AR108" s="189"/>
      <c r="AS108" s="189"/>
      <c r="AT108" s="189"/>
      <c r="AU108" s="189"/>
      <c r="AV108" s="189"/>
      <c r="AW108" s="189"/>
      <c r="AX108" s="189">
        <f t="shared" si="4"/>
        <v>0</v>
      </c>
      <c r="AY108" s="189"/>
    </row>
    <row r="109" spans="1:51">
      <c r="A109" s="188"/>
      <c r="B109" s="188"/>
      <c r="C109" s="188"/>
      <c r="D109" s="188"/>
      <c r="E109" s="189"/>
      <c r="F109" s="189"/>
      <c r="G109" s="189"/>
      <c r="H109" s="189"/>
      <c r="I109" s="189"/>
      <c r="J109" s="189"/>
      <c r="K109" s="189"/>
      <c r="L109" s="189"/>
      <c r="M109" s="189"/>
      <c r="N109" s="189"/>
      <c r="O109" s="189"/>
      <c r="P109" s="189"/>
      <c r="Q109" s="189"/>
      <c r="R109" s="189"/>
      <c r="S109" s="189"/>
      <c r="T109" s="189"/>
      <c r="U109" s="189"/>
      <c r="V109" s="189"/>
      <c r="W109" s="189"/>
      <c r="X109" s="189"/>
      <c r="Y109" s="189"/>
      <c r="Z109" s="189"/>
      <c r="AA109" s="189"/>
      <c r="AB109" s="189"/>
      <c r="AC109" s="189"/>
      <c r="AD109" s="189"/>
      <c r="AE109" s="189"/>
      <c r="AF109" s="189"/>
      <c r="AG109" s="189"/>
      <c r="AH109" s="189"/>
      <c r="AI109" s="189"/>
      <c r="AJ109" s="189"/>
      <c r="AK109" s="189"/>
      <c r="AL109" s="189"/>
      <c r="AM109" s="189"/>
      <c r="AN109" s="189"/>
      <c r="AO109" s="189"/>
      <c r="AP109" s="189"/>
      <c r="AQ109" s="189"/>
      <c r="AR109" s="189"/>
      <c r="AS109" s="189"/>
      <c r="AT109" s="189"/>
      <c r="AU109" s="189"/>
      <c r="AV109" s="189"/>
      <c r="AW109" s="189"/>
      <c r="AX109" s="189">
        <f t="shared" si="4"/>
        <v>0</v>
      </c>
      <c r="AY109" s="189"/>
    </row>
    <row r="110" spans="1:51">
      <c r="A110" s="188"/>
      <c r="B110" s="188"/>
      <c r="C110" s="188"/>
      <c r="D110" s="188"/>
      <c r="E110" s="189"/>
      <c r="F110" s="189"/>
      <c r="G110" s="189"/>
      <c r="H110" s="189"/>
      <c r="I110" s="189"/>
      <c r="J110" s="189"/>
      <c r="K110" s="189"/>
      <c r="L110" s="189"/>
      <c r="M110" s="189"/>
      <c r="N110" s="189"/>
      <c r="O110" s="189"/>
      <c r="P110" s="189"/>
      <c r="Q110" s="189"/>
      <c r="R110" s="189"/>
      <c r="S110" s="189"/>
      <c r="T110" s="189"/>
      <c r="U110" s="189"/>
      <c r="V110" s="189"/>
      <c r="W110" s="189"/>
      <c r="X110" s="189"/>
      <c r="Y110" s="189"/>
      <c r="Z110" s="189"/>
      <c r="AA110" s="189"/>
      <c r="AB110" s="189"/>
      <c r="AC110" s="189"/>
      <c r="AD110" s="189"/>
      <c r="AE110" s="189"/>
      <c r="AF110" s="189"/>
      <c r="AG110" s="189"/>
      <c r="AH110" s="189"/>
      <c r="AI110" s="189"/>
      <c r="AJ110" s="189"/>
      <c r="AK110" s="189"/>
      <c r="AL110" s="189"/>
      <c r="AM110" s="189"/>
      <c r="AN110" s="189"/>
      <c r="AO110" s="189"/>
      <c r="AP110" s="189"/>
      <c r="AQ110" s="189"/>
      <c r="AR110" s="189"/>
      <c r="AS110" s="189"/>
      <c r="AT110" s="189"/>
      <c r="AU110" s="189"/>
      <c r="AV110" s="189"/>
      <c r="AW110" s="189"/>
      <c r="AX110" s="189">
        <f t="shared" si="4"/>
        <v>0</v>
      </c>
      <c r="AY110" s="189"/>
    </row>
    <row r="111" spans="1:51">
      <c r="A111" s="188"/>
      <c r="B111" s="188"/>
      <c r="C111" s="188"/>
      <c r="D111" s="188"/>
      <c r="E111" s="189"/>
      <c r="F111" s="189"/>
      <c r="G111" s="189"/>
      <c r="H111" s="189"/>
      <c r="I111" s="189"/>
      <c r="J111" s="189"/>
      <c r="K111" s="189"/>
      <c r="L111" s="189"/>
      <c r="M111" s="189"/>
      <c r="N111" s="189"/>
      <c r="O111" s="189"/>
      <c r="P111" s="189"/>
      <c r="Q111" s="189"/>
      <c r="R111" s="189"/>
      <c r="S111" s="189"/>
      <c r="T111" s="189"/>
      <c r="U111" s="189"/>
      <c r="V111" s="189"/>
      <c r="W111" s="189"/>
      <c r="X111" s="189"/>
      <c r="Y111" s="189"/>
      <c r="Z111" s="189"/>
      <c r="AA111" s="189"/>
      <c r="AB111" s="189"/>
      <c r="AC111" s="189"/>
      <c r="AD111" s="189"/>
      <c r="AE111" s="189"/>
      <c r="AF111" s="189"/>
      <c r="AG111" s="189"/>
      <c r="AH111" s="189"/>
      <c r="AI111" s="189"/>
      <c r="AJ111" s="189"/>
      <c r="AK111" s="189"/>
      <c r="AL111" s="189"/>
      <c r="AM111" s="189"/>
      <c r="AN111" s="189"/>
      <c r="AO111" s="189"/>
      <c r="AP111" s="189"/>
      <c r="AQ111" s="189"/>
      <c r="AR111" s="189"/>
      <c r="AS111" s="189"/>
      <c r="AT111" s="189"/>
      <c r="AU111" s="189"/>
      <c r="AV111" s="189"/>
      <c r="AW111" s="189"/>
      <c r="AX111" s="189">
        <f t="shared" si="4"/>
        <v>0</v>
      </c>
      <c r="AY111" s="189"/>
    </row>
    <row r="112" spans="1:51">
      <c r="A112" s="188"/>
      <c r="B112" s="188"/>
      <c r="C112" s="188"/>
      <c r="D112" s="188"/>
      <c r="E112" s="189"/>
      <c r="F112" s="189"/>
      <c r="G112" s="189"/>
      <c r="H112" s="189"/>
      <c r="I112" s="189"/>
      <c r="J112" s="189"/>
      <c r="K112" s="189"/>
      <c r="L112" s="189"/>
      <c r="M112" s="189"/>
      <c r="N112" s="189"/>
      <c r="O112" s="189"/>
      <c r="P112" s="189"/>
      <c r="Q112" s="189"/>
      <c r="R112" s="189"/>
      <c r="S112" s="189"/>
      <c r="T112" s="189"/>
      <c r="U112" s="189"/>
      <c r="V112" s="189"/>
      <c r="W112" s="189"/>
      <c r="X112" s="189"/>
      <c r="Y112" s="189"/>
      <c r="Z112" s="189"/>
      <c r="AA112" s="189"/>
      <c r="AB112" s="189"/>
      <c r="AC112" s="189"/>
      <c r="AD112" s="189"/>
      <c r="AE112" s="189"/>
      <c r="AF112" s="189"/>
      <c r="AG112" s="189"/>
      <c r="AH112" s="189"/>
      <c r="AI112" s="189"/>
      <c r="AJ112" s="189"/>
      <c r="AK112" s="189"/>
      <c r="AL112" s="189"/>
      <c r="AM112" s="189"/>
      <c r="AN112" s="189"/>
      <c r="AO112" s="189"/>
      <c r="AP112" s="189"/>
      <c r="AQ112" s="189"/>
      <c r="AR112" s="189"/>
      <c r="AS112" s="189"/>
      <c r="AT112" s="189"/>
      <c r="AU112" s="189"/>
      <c r="AV112" s="189"/>
      <c r="AW112" s="189"/>
      <c r="AX112" s="189">
        <f t="shared" si="4"/>
        <v>0</v>
      </c>
      <c r="AY112" s="189"/>
    </row>
    <row r="113" spans="1:51">
      <c r="A113" s="188"/>
      <c r="B113" s="188"/>
      <c r="C113" s="188"/>
      <c r="D113" s="188"/>
      <c r="E113" s="189"/>
      <c r="F113" s="189"/>
      <c r="G113" s="189"/>
      <c r="H113" s="189"/>
      <c r="I113" s="189"/>
      <c r="J113" s="189"/>
      <c r="K113" s="189"/>
      <c r="L113" s="189"/>
      <c r="M113" s="189"/>
      <c r="N113" s="189"/>
      <c r="O113" s="189"/>
      <c r="P113" s="189"/>
      <c r="Q113" s="189"/>
      <c r="R113" s="189"/>
      <c r="S113" s="189"/>
      <c r="T113" s="189"/>
      <c r="U113" s="189"/>
      <c r="V113" s="189"/>
      <c r="W113" s="189"/>
      <c r="X113" s="189"/>
      <c r="Y113" s="189"/>
      <c r="Z113" s="189"/>
      <c r="AA113" s="189"/>
      <c r="AB113" s="189"/>
      <c r="AC113" s="189"/>
      <c r="AD113" s="189"/>
      <c r="AE113" s="189"/>
      <c r="AF113" s="189"/>
      <c r="AG113" s="189"/>
      <c r="AH113" s="189"/>
      <c r="AI113" s="189"/>
      <c r="AJ113" s="189"/>
      <c r="AK113" s="189"/>
      <c r="AL113" s="189"/>
      <c r="AM113" s="189"/>
      <c r="AN113" s="189"/>
      <c r="AO113" s="189"/>
      <c r="AP113" s="189"/>
      <c r="AQ113" s="189"/>
      <c r="AR113" s="189"/>
      <c r="AS113" s="189"/>
      <c r="AT113" s="189"/>
      <c r="AU113" s="189"/>
      <c r="AV113" s="189"/>
      <c r="AW113" s="189"/>
      <c r="AX113" s="189">
        <f t="shared" si="4"/>
        <v>0</v>
      </c>
      <c r="AY113" s="189"/>
    </row>
    <row r="114" spans="1:51">
      <c r="A114" s="188"/>
      <c r="B114" s="188"/>
      <c r="C114" s="188"/>
      <c r="D114" s="188"/>
      <c r="E114" s="189"/>
      <c r="F114" s="189"/>
      <c r="G114" s="189"/>
      <c r="H114" s="189"/>
      <c r="I114" s="189"/>
      <c r="J114" s="189"/>
      <c r="K114" s="189"/>
      <c r="L114" s="189"/>
      <c r="M114" s="189"/>
      <c r="N114" s="189"/>
      <c r="O114" s="189"/>
      <c r="P114" s="189"/>
      <c r="Q114" s="189"/>
      <c r="R114" s="189"/>
      <c r="S114" s="189"/>
      <c r="T114" s="189"/>
      <c r="U114" s="189"/>
      <c r="V114" s="189"/>
      <c r="W114" s="189"/>
      <c r="X114" s="189"/>
      <c r="Y114" s="189"/>
      <c r="Z114" s="189"/>
      <c r="AA114" s="189"/>
      <c r="AB114" s="189"/>
      <c r="AC114" s="189"/>
      <c r="AD114" s="189"/>
      <c r="AE114" s="189"/>
      <c r="AF114" s="189"/>
      <c r="AG114" s="189"/>
      <c r="AH114" s="189"/>
      <c r="AI114" s="189"/>
      <c r="AJ114" s="189"/>
      <c r="AK114" s="189"/>
      <c r="AL114" s="189"/>
      <c r="AM114" s="189"/>
      <c r="AN114" s="189"/>
      <c r="AO114" s="189"/>
      <c r="AP114" s="189"/>
      <c r="AQ114" s="189"/>
      <c r="AR114" s="189"/>
      <c r="AS114" s="189"/>
      <c r="AT114" s="189"/>
      <c r="AU114" s="189"/>
      <c r="AV114" s="189"/>
      <c r="AW114" s="189"/>
      <c r="AX114" s="189">
        <f t="shared" si="4"/>
        <v>0</v>
      </c>
      <c r="AY114" s="189"/>
    </row>
    <row r="115" spans="1:51">
      <c r="A115" s="188"/>
      <c r="B115" s="188"/>
      <c r="C115" s="188"/>
      <c r="D115" s="188"/>
      <c r="E115" s="189"/>
      <c r="F115" s="189"/>
      <c r="G115" s="189"/>
      <c r="H115" s="189"/>
      <c r="I115" s="189"/>
      <c r="J115" s="189"/>
      <c r="K115" s="189"/>
      <c r="L115" s="189"/>
      <c r="M115" s="189"/>
      <c r="N115" s="189"/>
      <c r="O115" s="189"/>
      <c r="P115" s="189"/>
      <c r="Q115" s="189"/>
      <c r="R115" s="189"/>
      <c r="S115" s="189"/>
      <c r="T115" s="189"/>
      <c r="U115" s="189"/>
      <c r="V115" s="189"/>
      <c r="W115" s="189"/>
      <c r="X115" s="189"/>
      <c r="Y115" s="189"/>
      <c r="Z115" s="189"/>
      <c r="AA115" s="189"/>
      <c r="AB115" s="189"/>
      <c r="AC115" s="189"/>
      <c r="AD115" s="189"/>
      <c r="AE115" s="189"/>
      <c r="AF115" s="189"/>
      <c r="AG115" s="189"/>
      <c r="AH115" s="189"/>
      <c r="AI115" s="189"/>
      <c r="AJ115" s="189"/>
      <c r="AK115" s="189"/>
      <c r="AL115" s="189"/>
      <c r="AM115" s="189"/>
      <c r="AN115" s="189"/>
      <c r="AO115" s="189"/>
      <c r="AP115" s="189"/>
      <c r="AQ115" s="189"/>
      <c r="AR115" s="189"/>
      <c r="AS115" s="189"/>
      <c r="AT115" s="189"/>
      <c r="AU115" s="189"/>
      <c r="AV115" s="189"/>
      <c r="AW115" s="189"/>
      <c r="AX115" s="189">
        <f t="shared" si="4"/>
        <v>0</v>
      </c>
      <c r="AY115" s="189"/>
    </row>
    <row r="116" spans="1:51">
      <c r="A116" s="188"/>
      <c r="B116" s="188"/>
      <c r="C116" s="188"/>
      <c r="D116" s="188"/>
      <c r="E116" s="189"/>
      <c r="F116" s="189"/>
      <c r="G116" s="189"/>
      <c r="H116" s="189"/>
      <c r="I116" s="189"/>
      <c r="J116" s="189"/>
      <c r="K116" s="189"/>
      <c r="L116" s="189"/>
      <c r="M116" s="189"/>
      <c r="N116" s="189"/>
      <c r="O116" s="189"/>
      <c r="P116" s="189"/>
      <c r="Q116" s="189"/>
      <c r="R116" s="189"/>
      <c r="S116" s="189"/>
      <c r="T116" s="189"/>
      <c r="U116" s="189"/>
      <c r="V116" s="189"/>
      <c r="W116" s="189"/>
      <c r="X116" s="189"/>
      <c r="Y116" s="189"/>
      <c r="Z116" s="189"/>
      <c r="AA116" s="189"/>
      <c r="AB116" s="189"/>
      <c r="AC116" s="189"/>
      <c r="AD116" s="189"/>
      <c r="AE116" s="189"/>
      <c r="AF116" s="189"/>
      <c r="AG116" s="189"/>
      <c r="AH116" s="189"/>
      <c r="AI116" s="189"/>
      <c r="AJ116" s="189"/>
      <c r="AK116" s="189"/>
      <c r="AL116" s="189"/>
      <c r="AM116" s="189"/>
      <c r="AN116" s="189"/>
      <c r="AO116" s="189"/>
      <c r="AP116" s="189"/>
      <c r="AQ116" s="189"/>
      <c r="AR116" s="189"/>
      <c r="AS116" s="189"/>
      <c r="AT116" s="189"/>
      <c r="AU116" s="189"/>
      <c r="AV116" s="189"/>
      <c r="AW116" s="189"/>
      <c r="AX116" s="189">
        <f t="shared" si="4"/>
        <v>0</v>
      </c>
      <c r="AY116" s="189"/>
    </row>
    <row r="117" spans="1:51">
      <c r="A117" s="188"/>
      <c r="B117" s="188"/>
      <c r="C117" s="188"/>
      <c r="D117" s="188"/>
      <c r="E117" s="189"/>
      <c r="F117" s="189"/>
      <c r="G117" s="189"/>
      <c r="H117" s="189"/>
      <c r="I117" s="189"/>
      <c r="J117" s="189"/>
      <c r="K117" s="189"/>
      <c r="L117" s="189"/>
      <c r="M117" s="189"/>
      <c r="N117" s="189"/>
      <c r="O117" s="189"/>
      <c r="P117" s="189"/>
      <c r="Q117" s="189"/>
      <c r="R117" s="189"/>
      <c r="S117" s="189"/>
      <c r="T117" s="189"/>
      <c r="U117" s="189"/>
      <c r="V117" s="189"/>
      <c r="W117" s="189"/>
      <c r="X117" s="189"/>
      <c r="Y117" s="189"/>
      <c r="Z117" s="189"/>
      <c r="AA117" s="189"/>
      <c r="AB117" s="189"/>
      <c r="AC117" s="189"/>
      <c r="AD117" s="189"/>
      <c r="AE117" s="189"/>
      <c r="AF117" s="189"/>
      <c r="AG117" s="189"/>
      <c r="AH117" s="189"/>
      <c r="AI117" s="189"/>
      <c r="AJ117" s="189"/>
      <c r="AK117" s="189"/>
      <c r="AL117" s="189"/>
      <c r="AM117" s="189"/>
      <c r="AN117" s="189"/>
      <c r="AO117" s="189"/>
      <c r="AP117" s="189"/>
      <c r="AQ117" s="189"/>
      <c r="AR117" s="189"/>
      <c r="AS117" s="189"/>
      <c r="AT117" s="189"/>
      <c r="AU117" s="189"/>
      <c r="AV117" s="189"/>
      <c r="AW117" s="189"/>
      <c r="AX117" s="189">
        <f t="shared" si="4"/>
        <v>0</v>
      </c>
      <c r="AY117" s="189"/>
    </row>
    <row r="118" spans="1:51">
      <c r="A118" s="188"/>
      <c r="B118" s="188"/>
      <c r="C118" s="188"/>
      <c r="D118" s="188"/>
      <c r="E118" s="189"/>
      <c r="F118" s="189"/>
      <c r="G118" s="189"/>
      <c r="H118" s="189"/>
      <c r="I118" s="189"/>
      <c r="J118" s="189"/>
      <c r="K118" s="189"/>
      <c r="L118" s="189"/>
      <c r="M118" s="189"/>
      <c r="N118" s="189"/>
      <c r="O118" s="189"/>
      <c r="P118" s="189"/>
      <c r="Q118" s="189"/>
      <c r="R118" s="189"/>
      <c r="S118" s="189"/>
      <c r="T118" s="189"/>
      <c r="U118" s="189"/>
      <c r="V118" s="189"/>
      <c r="W118" s="189"/>
      <c r="X118" s="189"/>
      <c r="Y118" s="189"/>
      <c r="Z118" s="189"/>
      <c r="AA118" s="189"/>
      <c r="AB118" s="189"/>
      <c r="AC118" s="189"/>
      <c r="AD118" s="189"/>
      <c r="AE118" s="189"/>
      <c r="AF118" s="189"/>
      <c r="AG118" s="189"/>
      <c r="AH118" s="189"/>
      <c r="AI118" s="189"/>
      <c r="AJ118" s="189"/>
      <c r="AK118" s="189"/>
      <c r="AL118" s="189"/>
      <c r="AM118" s="189"/>
      <c r="AN118" s="189"/>
      <c r="AO118" s="189"/>
      <c r="AP118" s="189"/>
      <c r="AQ118" s="189"/>
      <c r="AR118" s="189"/>
      <c r="AS118" s="189"/>
      <c r="AT118" s="189"/>
      <c r="AU118" s="189"/>
      <c r="AV118" s="189"/>
      <c r="AW118" s="189"/>
      <c r="AX118" s="189">
        <f t="shared" si="4"/>
        <v>0</v>
      </c>
      <c r="AY118" s="189"/>
    </row>
    <row r="119" spans="1:51">
      <c r="A119" s="188"/>
      <c r="B119" s="188"/>
      <c r="C119" s="188"/>
      <c r="D119" s="188"/>
      <c r="E119" s="189"/>
      <c r="F119" s="189"/>
      <c r="G119" s="189"/>
      <c r="H119" s="189"/>
      <c r="I119" s="189"/>
      <c r="J119" s="189"/>
      <c r="K119" s="189"/>
      <c r="L119" s="189"/>
      <c r="M119" s="189"/>
      <c r="N119" s="189"/>
      <c r="O119" s="189"/>
      <c r="P119" s="189"/>
      <c r="Q119" s="189"/>
      <c r="R119" s="189"/>
      <c r="S119" s="189"/>
      <c r="T119" s="189"/>
      <c r="U119" s="189"/>
      <c r="V119" s="189"/>
      <c r="W119" s="189"/>
      <c r="X119" s="189"/>
      <c r="Y119" s="189"/>
      <c r="Z119" s="189"/>
      <c r="AA119" s="189"/>
      <c r="AB119" s="189"/>
      <c r="AC119" s="189"/>
      <c r="AD119" s="189"/>
      <c r="AE119" s="189"/>
      <c r="AF119" s="189"/>
      <c r="AG119" s="189"/>
      <c r="AH119" s="189"/>
      <c r="AI119" s="189"/>
      <c r="AJ119" s="189"/>
      <c r="AK119" s="189"/>
      <c r="AL119" s="189"/>
      <c r="AM119" s="189"/>
      <c r="AN119" s="189"/>
      <c r="AO119" s="189"/>
      <c r="AP119" s="189"/>
      <c r="AQ119" s="189"/>
      <c r="AR119" s="189"/>
      <c r="AS119" s="189"/>
      <c r="AT119" s="189"/>
      <c r="AU119" s="189"/>
      <c r="AV119" s="189"/>
      <c r="AW119" s="189"/>
      <c r="AX119" s="189">
        <f t="shared" si="4"/>
        <v>0</v>
      </c>
      <c r="AY119" s="189"/>
    </row>
    <row r="120" spans="1:51">
      <c r="A120" s="188"/>
      <c r="B120" s="188"/>
      <c r="C120" s="188"/>
      <c r="D120" s="188"/>
      <c r="E120" s="189"/>
      <c r="F120" s="189"/>
      <c r="G120" s="189"/>
      <c r="H120" s="189"/>
      <c r="I120" s="189"/>
      <c r="J120" s="189"/>
      <c r="K120" s="189"/>
      <c r="L120" s="189"/>
      <c r="M120" s="189"/>
      <c r="N120" s="189"/>
      <c r="O120" s="189"/>
      <c r="P120" s="189"/>
      <c r="Q120" s="189"/>
      <c r="R120" s="189"/>
      <c r="S120" s="189"/>
      <c r="T120" s="189"/>
      <c r="U120" s="189"/>
      <c r="V120" s="189"/>
      <c r="W120" s="189"/>
      <c r="X120" s="189"/>
      <c r="Y120" s="189"/>
      <c r="Z120" s="189"/>
      <c r="AA120" s="189"/>
      <c r="AB120" s="189"/>
      <c r="AC120" s="189"/>
      <c r="AD120" s="189"/>
      <c r="AE120" s="189"/>
      <c r="AF120" s="189"/>
      <c r="AG120" s="189"/>
      <c r="AH120" s="189"/>
      <c r="AI120" s="189"/>
      <c r="AJ120" s="189"/>
      <c r="AK120" s="189"/>
      <c r="AL120" s="189"/>
      <c r="AM120" s="189"/>
      <c r="AN120" s="189"/>
      <c r="AO120" s="189"/>
      <c r="AP120" s="189"/>
      <c r="AQ120" s="189"/>
      <c r="AR120" s="189"/>
      <c r="AS120" s="189"/>
      <c r="AT120" s="189"/>
      <c r="AU120" s="189"/>
      <c r="AV120" s="189"/>
      <c r="AW120" s="189"/>
      <c r="AX120" s="189">
        <f t="shared" ref="AX120:AX183" si="5">M120+N120+O120+P120+Q120+R120+S120+T120+U120+V120+W120+X120+Y120+Z120+AA120+AB120</f>
        <v>0</v>
      </c>
      <c r="AY120" s="189"/>
    </row>
    <row r="121" spans="1:51">
      <c r="A121" s="188"/>
      <c r="B121" s="188"/>
      <c r="C121" s="188"/>
      <c r="D121" s="188"/>
      <c r="E121" s="189"/>
      <c r="F121" s="189"/>
      <c r="G121" s="189"/>
      <c r="H121" s="189"/>
      <c r="I121" s="189"/>
      <c r="J121" s="189"/>
      <c r="K121" s="189"/>
      <c r="L121" s="189"/>
      <c r="M121" s="189"/>
      <c r="N121" s="189"/>
      <c r="O121" s="189"/>
      <c r="P121" s="189"/>
      <c r="Q121" s="189"/>
      <c r="R121" s="189"/>
      <c r="S121" s="189"/>
      <c r="T121" s="189"/>
      <c r="U121" s="189"/>
      <c r="V121" s="189"/>
      <c r="W121" s="189"/>
      <c r="X121" s="189"/>
      <c r="Y121" s="189"/>
      <c r="Z121" s="189"/>
      <c r="AA121" s="189"/>
      <c r="AB121" s="189"/>
      <c r="AC121" s="189"/>
      <c r="AD121" s="189"/>
      <c r="AE121" s="189"/>
      <c r="AF121" s="189"/>
      <c r="AG121" s="189"/>
      <c r="AH121" s="189"/>
      <c r="AI121" s="189"/>
      <c r="AJ121" s="189"/>
      <c r="AK121" s="189"/>
      <c r="AL121" s="189"/>
      <c r="AM121" s="189"/>
      <c r="AN121" s="189"/>
      <c r="AO121" s="189"/>
      <c r="AP121" s="189"/>
      <c r="AQ121" s="189"/>
      <c r="AR121" s="189"/>
      <c r="AS121" s="189"/>
      <c r="AT121" s="189"/>
      <c r="AU121" s="189"/>
      <c r="AV121" s="189"/>
      <c r="AW121" s="189"/>
      <c r="AX121" s="189">
        <f t="shared" si="5"/>
        <v>0</v>
      </c>
      <c r="AY121" s="189"/>
    </row>
    <row r="122" spans="1:51">
      <c r="A122" s="188"/>
      <c r="B122" s="188"/>
      <c r="C122" s="188"/>
      <c r="D122" s="188"/>
      <c r="E122" s="189"/>
      <c r="F122" s="189"/>
      <c r="G122" s="189"/>
      <c r="H122" s="189"/>
      <c r="I122" s="189"/>
      <c r="J122" s="189"/>
      <c r="K122" s="189"/>
      <c r="L122" s="189"/>
      <c r="M122" s="189"/>
      <c r="N122" s="189"/>
      <c r="O122" s="189"/>
      <c r="P122" s="189"/>
      <c r="Q122" s="189"/>
      <c r="R122" s="189"/>
      <c r="S122" s="189"/>
      <c r="T122" s="189"/>
      <c r="U122" s="189"/>
      <c r="V122" s="189"/>
      <c r="W122" s="189"/>
      <c r="X122" s="189"/>
      <c r="Y122" s="189"/>
      <c r="Z122" s="189"/>
      <c r="AA122" s="189"/>
      <c r="AB122" s="189"/>
      <c r="AC122" s="189"/>
      <c r="AD122" s="189"/>
      <c r="AE122" s="189"/>
      <c r="AF122" s="189"/>
      <c r="AG122" s="189"/>
      <c r="AH122" s="189"/>
      <c r="AI122" s="189"/>
      <c r="AJ122" s="189"/>
      <c r="AK122" s="189"/>
      <c r="AL122" s="189"/>
      <c r="AM122" s="189"/>
      <c r="AN122" s="189"/>
      <c r="AO122" s="189"/>
      <c r="AP122" s="189"/>
      <c r="AQ122" s="189"/>
      <c r="AR122" s="189"/>
      <c r="AS122" s="189"/>
      <c r="AT122" s="189"/>
      <c r="AU122" s="189"/>
      <c r="AV122" s="189"/>
      <c r="AW122" s="189"/>
      <c r="AX122" s="189">
        <f t="shared" si="5"/>
        <v>0</v>
      </c>
      <c r="AY122" s="189"/>
    </row>
    <row r="123" spans="1:51">
      <c r="A123" s="188"/>
      <c r="B123" s="188"/>
      <c r="C123" s="188"/>
      <c r="D123" s="188"/>
      <c r="E123" s="189"/>
      <c r="F123" s="189"/>
      <c r="G123" s="189"/>
      <c r="H123" s="189"/>
      <c r="I123" s="189"/>
      <c r="J123" s="189"/>
      <c r="K123" s="189"/>
      <c r="L123" s="189"/>
      <c r="M123" s="189"/>
      <c r="N123" s="189"/>
      <c r="O123" s="189"/>
      <c r="P123" s="189"/>
      <c r="Q123" s="189"/>
      <c r="R123" s="189"/>
      <c r="S123" s="189"/>
      <c r="T123" s="189"/>
      <c r="U123" s="189"/>
      <c r="V123" s="189"/>
      <c r="W123" s="189"/>
      <c r="X123" s="189"/>
      <c r="Y123" s="189"/>
      <c r="Z123" s="189"/>
      <c r="AA123" s="189"/>
      <c r="AB123" s="189"/>
      <c r="AC123" s="189"/>
      <c r="AD123" s="189"/>
      <c r="AE123" s="189"/>
      <c r="AF123" s="189"/>
      <c r="AG123" s="189"/>
      <c r="AH123" s="189"/>
      <c r="AI123" s="189"/>
      <c r="AJ123" s="189"/>
      <c r="AK123" s="189"/>
      <c r="AL123" s="189"/>
      <c r="AM123" s="189"/>
      <c r="AN123" s="189"/>
      <c r="AO123" s="189"/>
      <c r="AP123" s="189"/>
      <c r="AQ123" s="189"/>
      <c r="AR123" s="189"/>
      <c r="AS123" s="189"/>
      <c r="AT123" s="189"/>
      <c r="AU123" s="189"/>
      <c r="AV123" s="189"/>
      <c r="AW123" s="189"/>
      <c r="AX123" s="189">
        <f t="shared" si="5"/>
        <v>0</v>
      </c>
      <c r="AY123" s="189"/>
    </row>
    <row r="124" spans="1:51">
      <c r="A124" s="188"/>
      <c r="B124" s="188"/>
      <c r="C124" s="188"/>
      <c r="D124" s="188"/>
      <c r="E124" s="189"/>
      <c r="F124" s="189"/>
      <c r="G124" s="189"/>
      <c r="H124" s="189"/>
      <c r="I124" s="189"/>
      <c r="J124" s="189"/>
      <c r="K124" s="189"/>
      <c r="L124" s="189"/>
      <c r="M124" s="189"/>
      <c r="N124" s="189"/>
      <c r="O124" s="189"/>
      <c r="P124" s="189"/>
      <c r="Q124" s="189"/>
      <c r="R124" s="189"/>
      <c r="S124" s="189"/>
      <c r="T124" s="189"/>
      <c r="U124" s="189"/>
      <c r="V124" s="189"/>
      <c r="W124" s="189"/>
      <c r="X124" s="189"/>
      <c r="Y124" s="189"/>
      <c r="Z124" s="189"/>
      <c r="AA124" s="189"/>
      <c r="AB124" s="189"/>
      <c r="AC124" s="189"/>
      <c r="AD124" s="189"/>
      <c r="AE124" s="189"/>
      <c r="AF124" s="189"/>
      <c r="AG124" s="189"/>
      <c r="AH124" s="189"/>
      <c r="AI124" s="189"/>
      <c r="AJ124" s="189"/>
      <c r="AK124" s="189"/>
      <c r="AL124" s="189"/>
      <c r="AM124" s="189"/>
      <c r="AN124" s="189"/>
      <c r="AO124" s="189"/>
      <c r="AP124" s="189"/>
      <c r="AQ124" s="189"/>
      <c r="AR124" s="189"/>
      <c r="AS124" s="189"/>
      <c r="AT124" s="189"/>
      <c r="AU124" s="189"/>
      <c r="AV124" s="189"/>
      <c r="AW124" s="189"/>
      <c r="AX124" s="189">
        <f t="shared" si="5"/>
        <v>0</v>
      </c>
      <c r="AY124" s="189"/>
    </row>
    <row r="125" spans="1:51">
      <c r="A125" s="188"/>
      <c r="B125" s="188"/>
      <c r="C125" s="188"/>
      <c r="D125" s="188"/>
      <c r="E125" s="189"/>
      <c r="F125" s="189"/>
      <c r="G125" s="189"/>
      <c r="H125" s="189"/>
      <c r="I125" s="189"/>
      <c r="J125" s="189"/>
      <c r="K125" s="189"/>
      <c r="L125" s="189"/>
      <c r="M125" s="189"/>
      <c r="N125" s="189"/>
      <c r="O125" s="189"/>
      <c r="P125" s="189"/>
      <c r="Q125" s="189"/>
      <c r="R125" s="189"/>
      <c r="S125" s="189"/>
      <c r="T125" s="189"/>
      <c r="U125" s="189"/>
      <c r="V125" s="189"/>
      <c r="W125" s="189"/>
      <c r="X125" s="189"/>
      <c r="Y125" s="189"/>
      <c r="Z125" s="189"/>
      <c r="AA125" s="189"/>
      <c r="AB125" s="189"/>
      <c r="AC125" s="189"/>
      <c r="AD125" s="189"/>
      <c r="AE125" s="189"/>
      <c r="AF125" s="189"/>
      <c r="AG125" s="189"/>
      <c r="AH125" s="189"/>
      <c r="AI125" s="189"/>
      <c r="AJ125" s="189"/>
      <c r="AK125" s="189"/>
      <c r="AL125" s="189"/>
      <c r="AM125" s="189"/>
      <c r="AN125" s="189"/>
      <c r="AO125" s="189"/>
      <c r="AP125" s="189"/>
      <c r="AQ125" s="189"/>
      <c r="AR125" s="189"/>
      <c r="AS125" s="189"/>
      <c r="AT125" s="189"/>
      <c r="AU125" s="189"/>
      <c r="AV125" s="189"/>
      <c r="AW125" s="189"/>
      <c r="AX125" s="189">
        <f t="shared" si="5"/>
        <v>0</v>
      </c>
      <c r="AY125" s="189"/>
    </row>
    <row r="126" spans="1:51">
      <c r="A126" s="188"/>
      <c r="B126" s="188"/>
      <c r="C126" s="188"/>
      <c r="D126" s="188"/>
      <c r="E126" s="189"/>
      <c r="F126" s="189"/>
      <c r="G126" s="189"/>
      <c r="H126" s="189"/>
      <c r="I126" s="189"/>
      <c r="J126" s="189"/>
      <c r="K126" s="189"/>
      <c r="L126" s="189"/>
      <c r="M126" s="189"/>
      <c r="N126" s="189"/>
      <c r="O126" s="189"/>
      <c r="P126" s="189"/>
      <c r="Q126" s="189"/>
      <c r="R126" s="189"/>
      <c r="S126" s="189"/>
      <c r="T126" s="189"/>
      <c r="U126" s="189"/>
      <c r="V126" s="189"/>
      <c r="W126" s="189"/>
      <c r="X126" s="189"/>
      <c r="Y126" s="189"/>
      <c r="Z126" s="189"/>
      <c r="AA126" s="189"/>
      <c r="AB126" s="189"/>
      <c r="AC126" s="189"/>
      <c r="AD126" s="189"/>
      <c r="AE126" s="189"/>
      <c r="AF126" s="189"/>
      <c r="AG126" s="189"/>
      <c r="AH126" s="189"/>
      <c r="AI126" s="189"/>
      <c r="AJ126" s="189"/>
      <c r="AK126" s="189"/>
      <c r="AL126" s="189"/>
      <c r="AM126" s="189"/>
      <c r="AN126" s="189"/>
      <c r="AO126" s="189"/>
      <c r="AP126" s="189"/>
      <c r="AQ126" s="189"/>
      <c r="AR126" s="189"/>
      <c r="AS126" s="189"/>
      <c r="AT126" s="189"/>
      <c r="AU126" s="189"/>
      <c r="AV126" s="189"/>
      <c r="AW126" s="189"/>
      <c r="AX126" s="189">
        <f t="shared" si="5"/>
        <v>0</v>
      </c>
      <c r="AY126" s="189"/>
    </row>
    <row r="127" spans="1:51">
      <c r="AX127" s="190">
        <f t="shared" si="5"/>
        <v>0</v>
      </c>
    </row>
    <row r="128" spans="1:51">
      <c r="AX128" s="190">
        <f t="shared" si="5"/>
        <v>0</v>
      </c>
    </row>
    <row r="129" spans="50:50">
      <c r="AX129" s="190">
        <f t="shared" si="5"/>
        <v>0</v>
      </c>
    </row>
    <row r="130" spans="50:50">
      <c r="AX130" s="190">
        <f t="shared" si="5"/>
        <v>0</v>
      </c>
    </row>
    <row r="131" spans="50:50">
      <c r="AX131" s="190">
        <f t="shared" si="5"/>
        <v>0</v>
      </c>
    </row>
    <row r="132" spans="50:50">
      <c r="AX132" s="190">
        <f t="shared" si="5"/>
        <v>0</v>
      </c>
    </row>
    <row r="133" spans="50:50">
      <c r="AX133" s="190">
        <f t="shared" si="5"/>
        <v>0</v>
      </c>
    </row>
    <row r="134" spans="50:50">
      <c r="AX134" s="190">
        <f t="shared" si="5"/>
        <v>0</v>
      </c>
    </row>
    <row r="135" spans="50:50">
      <c r="AX135" s="190">
        <f t="shared" si="5"/>
        <v>0</v>
      </c>
    </row>
    <row r="136" spans="50:50">
      <c r="AX136" s="190">
        <f t="shared" si="5"/>
        <v>0</v>
      </c>
    </row>
    <row r="137" spans="50:50">
      <c r="AX137" s="190">
        <f t="shared" si="5"/>
        <v>0</v>
      </c>
    </row>
    <row r="138" spans="50:50">
      <c r="AX138" s="190">
        <f t="shared" si="5"/>
        <v>0</v>
      </c>
    </row>
    <row r="139" spans="50:50">
      <c r="AX139" s="190">
        <f t="shared" si="5"/>
        <v>0</v>
      </c>
    </row>
    <row r="140" spans="50:50">
      <c r="AX140" s="190">
        <f t="shared" si="5"/>
        <v>0</v>
      </c>
    </row>
    <row r="141" spans="50:50">
      <c r="AX141" s="190">
        <f t="shared" si="5"/>
        <v>0</v>
      </c>
    </row>
    <row r="142" spans="50:50">
      <c r="AX142" s="190">
        <f t="shared" si="5"/>
        <v>0</v>
      </c>
    </row>
    <row r="143" spans="50:50">
      <c r="AX143" s="190">
        <f t="shared" si="5"/>
        <v>0</v>
      </c>
    </row>
    <row r="144" spans="50:50">
      <c r="AX144" s="190">
        <f t="shared" si="5"/>
        <v>0</v>
      </c>
    </row>
    <row r="145" spans="50:50">
      <c r="AX145" s="190">
        <f t="shared" si="5"/>
        <v>0</v>
      </c>
    </row>
    <row r="146" spans="50:50">
      <c r="AX146" s="190">
        <f t="shared" si="5"/>
        <v>0</v>
      </c>
    </row>
    <row r="147" spans="50:50">
      <c r="AX147" s="190">
        <f t="shared" si="5"/>
        <v>0</v>
      </c>
    </row>
    <row r="148" spans="50:50">
      <c r="AX148" s="190">
        <f t="shared" si="5"/>
        <v>0</v>
      </c>
    </row>
    <row r="149" spans="50:50">
      <c r="AX149" s="190">
        <f t="shared" si="5"/>
        <v>0</v>
      </c>
    </row>
    <row r="150" spans="50:50">
      <c r="AX150" s="190">
        <f t="shared" si="5"/>
        <v>0</v>
      </c>
    </row>
    <row r="151" spans="50:50">
      <c r="AX151" s="190">
        <f t="shared" si="5"/>
        <v>0</v>
      </c>
    </row>
    <row r="152" spans="50:50">
      <c r="AX152" s="190">
        <f t="shared" si="5"/>
        <v>0</v>
      </c>
    </row>
    <row r="153" spans="50:50">
      <c r="AX153" s="190">
        <f t="shared" si="5"/>
        <v>0</v>
      </c>
    </row>
    <row r="154" spans="50:50">
      <c r="AX154" s="190">
        <f t="shared" si="5"/>
        <v>0</v>
      </c>
    </row>
    <row r="155" spans="50:50">
      <c r="AX155" s="190">
        <f t="shared" si="5"/>
        <v>0</v>
      </c>
    </row>
    <row r="156" spans="50:50">
      <c r="AX156" s="190">
        <f t="shared" si="5"/>
        <v>0</v>
      </c>
    </row>
    <row r="157" spans="50:50">
      <c r="AX157" s="190">
        <f t="shared" si="5"/>
        <v>0</v>
      </c>
    </row>
    <row r="158" spans="50:50">
      <c r="AX158" s="190">
        <f t="shared" si="5"/>
        <v>0</v>
      </c>
    </row>
    <row r="159" spans="50:50">
      <c r="AX159" s="190">
        <f t="shared" si="5"/>
        <v>0</v>
      </c>
    </row>
    <row r="160" spans="50:50">
      <c r="AX160" s="190">
        <f t="shared" si="5"/>
        <v>0</v>
      </c>
    </row>
    <row r="161" spans="50:50">
      <c r="AX161" s="190">
        <f t="shared" si="5"/>
        <v>0</v>
      </c>
    </row>
    <row r="162" spans="50:50">
      <c r="AX162" s="190">
        <f t="shared" si="5"/>
        <v>0</v>
      </c>
    </row>
    <row r="163" spans="50:50">
      <c r="AX163" s="190">
        <f t="shared" si="5"/>
        <v>0</v>
      </c>
    </row>
    <row r="164" spans="50:50">
      <c r="AX164" s="190">
        <f t="shared" si="5"/>
        <v>0</v>
      </c>
    </row>
    <row r="165" spans="50:50">
      <c r="AX165" s="190">
        <f t="shared" si="5"/>
        <v>0</v>
      </c>
    </row>
    <row r="166" spans="50:50">
      <c r="AX166" s="190">
        <f t="shared" si="5"/>
        <v>0</v>
      </c>
    </row>
    <row r="167" spans="50:50">
      <c r="AX167" s="190">
        <f t="shared" si="5"/>
        <v>0</v>
      </c>
    </row>
    <row r="168" spans="50:50">
      <c r="AX168" s="190">
        <f t="shared" si="5"/>
        <v>0</v>
      </c>
    </row>
    <row r="169" spans="50:50">
      <c r="AX169" s="190">
        <f t="shared" si="5"/>
        <v>0</v>
      </c>
    </row>
    <row r="170" spans="50:50">
      <c r="AX170" s="190">
        <f t="shared" si="5"/>
        <v>0</v>
      </c>
    </row>
    <row r="171" spans="50:50">
      <c r="AX171" s="190">
        <f t="shared" si="5"/>
        <v>0</v>
      </c>
    </row>
    <row r="172" spans="50:50">
      <c r="AX172" s="190">
        <f t="shared" si="5"/>
        <v>0</v>
      </c>
    </row>
    <row r="173" spans="50:50">
      <c r="AX173" s="190">
        <f t="shared" si="5"/>
        <v>0</v>
      </c>
    </row>
    <row r="174" spans="50:50">
      <c r="AX174" s="190">
        <f t="shared" si="5"/>
        <v>0</v>
      </c>
    </row>
    <row r="175" spans="50:50">
      <c r="AX175" s="190">
        <f t="shared" si="5"/>
        <v>0</v>
      </c>
    </row>
    <row r="176" spans="50:50">
      <c r="AX176" s="190">
        <f t="shared" si="5"/>
        <v>0</v>
      </c>
    </row>
    <row r="177" spans="50:50">
      <c r="AX177" s="190">
        <f t="shared" si="5"/>
        <v>0</v>
      </c>
    </row>
    <row r="178" spans="50:50">
      <c r="AX178" s="190">
        <f t="shared" si="5"/>
        <v>0</v>
      </c>
    </row>
    <row r="179" spans="50:50">
      <c r="AX179" s="190">
        <f t="shared" si="5"/>
        <v>0</v>
      </c>
    </row>
    <row r="180" spans="50:50">
      <c r="AX180" s="190">
        <f t="shared" si="5"/>
        <v>0</v>
      </c>
    </row>
    <row r="181" spans="50:50">
      <c r="AX181" s="190">
        <f t="shared" si="5"/>
        <v>0</v>
      </c>
    </row>
    <row r="182" spans="50:50">
      <c r="AX182" s="190">
        <f t="shared" si="5"/>
        <v>0</v>
      </c>
    </row>
    <row r="183" spans="50:50">
      <c r="AX183" s="190">
        <f t="shared" si="5"/>
        <v>0</v>
      </c>
    </row>
    <row r="184" spans="50:50">
      <c r="AX184" s="190">
        <f t="shared" ref="AX184:AX239" si="6">M184+N184+O184+P184+Q184+R184+S184+T184+U184+V184+W184+X184+Y184+Z184+AA184+AB184</f>
        <v>0</v>
      </c>
    </row>
    <row r="185" spans="50:50">
      <c r="AX185" s="190">
        <f t="shared" si="6"/>
        <v>0</v>
      </c>
    </row>
    <row r="186" spans="50:50">
      <c r="AX186" s="190">
        <f t="shared" si="6"/>
        <v>0</v>
      </c>
    </row>
    <row r="187" spans="50:50">
      <c r="AX187" s="190">
        <f t="shared" si="6"/>
        <v>0</v>
      </c>
    </row>
    <row r="188" spans="50:50">
      <c r="AX188" s="190">
        <f t="shared" si="6"/>
        <v>0</v>
      </c>
    </row>
    <row r="189" spans="50:50">
      <c r="AX189" s="190">
        <f t="shared" si="6"/>
        <v>0</v>
      </c>
    </row>
    <row r="190" spans="50:50">
      <c r="AX190" s="190">
        <f t="shared" si="6"/>
        <v>0</v>
      </c>
    </row>
    <row r="191" spans="50:50">
      <c r="AX191" s="190">
        <f t="shared" si="6"/>
        <v>0</v>
      </c>
    </row>
    <row r="192" spans="50:50">
      <c r="AX192" s="190">
        <f t="shared" si="6"/>
        <v>0</v>
      </c>
    </row>
    <row r="193" spans="50:50">
      <c r="AX193" s="190">
        <f t="shared" si="6"/>
        <v>0</v>
      </c>
    </row>
    <row r="194" spans="50:50">
      <c r="AX194" s="190">
        <f t="shared" si="6"/>
        <v>0</v>
      </c>
    </row>
    <row r="195" spans="50:50">
      <c r="AX195" s="190">
        <f t="shared" si="6"/>
        <v>0</v>
      </c>
    </row>
    <row r="196" spans="50:50">
      <c r="AX196" s="190">
        <f t="shared" si="6"/>
        <v>0</v>
      </c>
    </row>
    <row r="197" spans="50:50">
      <c r="AX197" s="190">
        <f t="shared" si="6"/>
        <v>0</v>
      </c>
    </row>
    <row r="198" spans="50:50">
      <c r="AX198" s="190">
        <f t="shared" si="6"/>
        <v>0</v>
      </c>
    </row>
    <row r="199" spans="50:50">
      <c r="AX199" s="190">
        <f t="shared" si="6"/>
        <v>0</v>
      </c>
    </row>
    <row r="200" spans="50:50">
      <c r="AX200" s="190">
        <f t="shared" si="6"/>
        <v>0</v>
      </c>
    </row>
    <row r="201" spans="50:50">
      <c r="AX201" s="190">
        <f t="shared" si="6"/>
        <v>0</v>
      </c>
    </row>
    <row r="202" spans="50:50">
      <c r="AX202" s="190">
        <f t="shared" si="6"/>
        <v>0</v>
      </c>
    </row>
    <row r="203" spans="50:50">
      <c r="AX203" s="190">
        <f t="shared" si="6"/>
        <v>0</v>
      </c>
    </row>
    <row r="204" spans="50:50">
      <c r="AX204" s="190">
        <f t="shared" si="6"/>
        <v>0</v>
      </c>
    </row>
    <row r="205" spans="50:50">
      <c r="AX205" s="190">
        <f t="shared" si="6"/>
        <v>0</v>
      </c>
    </row>
    <row r="206" spans="50:50">
      <c r="AX206" s="190">
        <f t="shared" si="6"/>
        <v>0</v>
      </c>
    </row>
    <row r="207" spans="50:50">
      <c r="AX207" s="190">
        <f t="shared" si="6"/>
        <v>0</v>
      </c>
    </row>
    <row r="208" spans="50:50">
      <c r="AX208" s="190">
        <f t="shared" si="6"/>
        <v>0</v>
      </c>
    </row>
    <row r="209" spans="50:50">
      <c r="AX209" s="190">
        <f t="shared" si="6"/>
        <v>0</v>
      </c>
    </row>
    <row r="210" spans="50:50">
      <c r="AX210" s="190">
        <f t="shared" si="6"/>
        <v>0</v>
      </c>
    </row>
    <row r="211" spans="50:50">
      <c r="AX211" s="190">
        <f t="shared" si="6"/>
        <v>0</v>
      </c>
    </row>
    <row r="212" spans="50:50">
      <c r="AX212" s="190">
        <f t="shared" si="6"/>
        <v>0</v>
      </c>
    </row>
    <row r="213" spans="50:50">
      <c r="AX213" s="190">
        <f t="shared" si="6"/>
        <v>0</v>
      </c>
    </row>
    <row r="214" spans="50:50">
      <c r="AX214" s="190">
        <f t="shared" si="6"/>
        <v>0</v>
      </c>
    </row>
    <row r="215" spans="50:50">
      <c r="AX215" s="190">
        <f t="shared" si="6"/>
        <v>0</v>
      </c>
    </row>
    <row r="216" spans="50:50">
      <c r="AX216" s="190">
        <f t="shared" si="6"/>
        <v>0</v>
      </c>
    </row>
    <row r="217" spans="50:50">
      <c r="AX217" s="190">
        <f t="shared" si="6"/>
        <v>0</v>
      </c>
    </row>
    <row r="218" spans="50:50">
      <c r="AX218" s="190">
        <f t="shared" si="6"/>
        <v>0</v>
      </c>
    </row>
    <row r="219" spans="50:50">
      <c r="AX219" s="190">
        <f t="shared" si="6"/>
        <v>0</v>
      </c>
    </row>
    <row r="220" spans="50:50">
      <c r="AX220" s="190">
        <f t="shared" si="6"/>
        <v>0</v>
      </c>
    </row>
    <row r="221" spans="50:50">
      <c r="AX221" s="190">
        <f t="shared" si="6"/>
        <v>0</v>
      </c>
    </row>
    <row r="222" spans="50:50">
      <c r="AX222" s="190">
        <f t="shared" si="6"/>
        <v>0</v>
      </c>
    </row>
    <row r="223" spans="50:50">
      <c r="AX223" s="190">
        <f t="shared" si="6"/>
        <v>0</v>
      </c>
    </row>
    <row r="224" spans="50:50">
      <c r="AX224" s="190">
        <f t="shared" si="6"/>
        <v>0</v>
      </c>
    </row>
    <row r="225" spans="50:50">
      <c r="AX225" s="190">
        <f t="shared" si="6"/>
        <v>0</v>
      </c>
    </row>
    <row r="226" spans="50:50">
      <c r="AX226" s="190">
        <f t="shared" si="6"/>
        <v>0</v>
      </c>
    </row>
    <row r="227" spans="50:50">
      <c r="AX227" s="190">
        <f t="shared" si="6"/>
        <v>0</v>
      </c>
    </row>
    <row r="228" spans="50:50">
      <c r="AX228" s="190">
        <f t="shared" si="6"/>
        <v>0</v>
      </c>
    </row>
    <row r="229" spans="50:50">
      <c r="AX229" s="190">
        <f t="shared" si="6"/>
        <v>0</v>
      </c>
    </row>
    <row r="230" spans="50:50">
      <c r="AX230" s="190">
        <f t="shared" si="6"/>
        <v>0</v>
      </c>
    </row>
    <row r="231" spans="50:50">
      <c r="AX231" s="190">
        <f t="shared" si="6"/>
        <v>0</v>
      </c>
    </row>
    <row r="232" spans="50:50">
      <c r="AX232" s="190">
        <f t="shared" si="6"/>
        <v>0</v>
      </c>
    </row>
    <row r="233" spans="50:50">
      <c r="AX233" s="190">
        <f t="shared" si="6"/>
        <v>0</v>
      </c>
    </row>
    <row r="234" spans="50:50">
      <c r="AX234" s="190">
        <f t="shared" si="6"/>
        <v>0</v>
      </c>
    </row>
    <row r="235" spans="50:50">
      <c r="AX235" s="190">
        <f t="shared" si="6"/>
        <v>0</v>
      </c>
    </row>
    <row r="236" spans="50:50">
      <c r="AX236" s="190">
        <f t="shared" si="6"/>
        <v>0</v>
      </c>
    </row>
    <row r="237" spans="50:50">
      <c r="AX237" s="190">
        <f t="shared" si="6"/>
        <v>0</v>
      </c>
    </row>
    <row r="238" spans="50:50">
      <c r="AX238" s="190">
        <f t="shared" si="6"/>
        <v>0</v>
      </c>
    </row>
    <row r="239" spans="50:50">
      <c r="AX239" s="190">
        <f t="shared" si="6"/>
        <v>0</v>
      </c>
    </row>
  </sheetData>
  <mergeCells count="1">
    <mergeCell ref="B5:F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I222"/>
  <sheetViews>
    <sheetView workbookViewId="0">
      <pane ySplit="2" topLeftCell="A3" activePane="bottomLeft" state="frozen"/>
      <selection pane="bottomLeft" activeCell="B3" sqref="B3:B158"/>
    </sheetView>
  </sheetViews>
  <sheetFormatPr defaultColWidth="8.7109375" defaultRowHeight="29.45" customHeight="1"/>
  <cols>
    <col min="1" max="1" width="11.140625" style="163" customWidth="1"/>
    <col min="2" max="2" width="22.5703125" style="163" customWidth="1"/>
    <col min="3" max="3" width="9.7109375" style="163" customWidth="1"/>
    <col min="4" max="4" width="8.7109375" style="163"/>
    <col min="5" max="5" width="14.42578125" style="190" customWidth="1"/>
    <col min="6" max="10" width="11.7109375" style="190" customWidth="1"/>
    <col min="11" max="29" width="11.140625" style="190" customWidth="1"/>
    <col min="30" max="30" width="11.85546875" style="190" customWidth="1"/>
    <col min="31" max="31" width="16.7109375" style="190" customWidth="1"/>
    <col min="32" max="32" width="9.85546875" style="190" customWidth="1"/>
    <col min="33" max="34" width="11.140625" style="190" customWidth="1"/>
    <col min="35" max="35" width="10.140625" style="190" customWidth="1"/>
    <col min="36" max="36" width="11.140625" style="190" customWidth="1"/>
    <col min="37" max="37" width="11.140625" style="194" customWidth="1"/>
    <col min="38" max="55" width="11.140625" style="190" customWidth="1"/>
    <col min="56" max="56" width="10.140625" style="190" customWidth="1"/>
    <col min="57" max="57" width="9.5703125" style="190" customWidth="1"/>
    <col min="58" max="58" width="12.140625" style="190" customWidth="1"/>
    <col min="59" max="59" width="10" style="190" customWidth="1"/>
    <col min="60" max="60" width="8.85546875" style="190" customWidth="1"/>
    <col min="61" max="61" width="10.7109375" style="190" customWidth="1"/>
    <col min="62" max="62" width="10.28515625" style="190" customWidth="1"/>
    <col min="63" max="63" width="11.140625" style="190" customWidth="1"/>
    <col min="64" max="64" width="10.140625" style="190" customWidth="1"/>
    <col min="65" max="65" width="8.85546875" style="190" customWidth="1"/>
    <col min="66" max="66" width="10.28515625" style="190" customWidth="1"/>
    <col min="67" max="73" width="10.140625" style="190" customWidth="1"/>
    <col min="74" max="75" width="11.7109375" style="190" customWidth="1"/>
    <col min="76" max="76" width="13.7109375" style="190" customWidth="1"/>
    <col min="77" max="77" width="9.42578125" style="190" customWidth="1"/>
    <col min="78" max="87" width="8.7109375" style="190"/>
    <col min="88" max="16384" width="8.7109375" style="163"/>
  </cols>
  <sheetData>
    <row r="1" spans="1:87" s="71" customFormat="1" ht="19.5" customHeight="1">
      <c r="B1" s="335" t="s">
        <v>308</v>
      </c>
      <c r="C1" s="335"/>
      <c r="D1" s="335"/>
      <c r="E1" s="336"/>
      <c r="F1" s="336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6"/>
      <c r="AL1" s="195"/>
      <c r="AM1" s="195"/>
      <c r="AN1" s="195"/>
      <c r="AO1" s="195"/>
      <c r="AP1" s="195"/>
      <c r="AQ1" s="195"/>
      <c r="AR1" s="195"/>
      <c r="AS1" s="195"/>
      <c r="AT1" s="195"/>
      <c r="AU1" s="195"/>
      <c r="AV1" s="195"/>
      <c r="AW1" s="195"/>
      <c r="AX1" s="195"/>
      <c r="AY1" s="195"/>
      <c r="AZ1" s="195"/>
      <c r="BA1" s="195"/>
      <c r="BB1" s="195"/>
      <c r="BC1" s="195"/>
      <c r="BD1" s="195"/>
      <c r="BE1" s="195"/>
      <c r="BF1" s="195"/>
      <c r="BG1" s="195"/>
      <c r="BH1" s="195"/>
      <c r="BI1" s="195"/>
      <c r="BJ1" s="195"/>
      <c r="BK1" s="195"/>
      <c r="BL1" s="195"/>
      <c r="BM1" s="195"/>
      <c r="BN1" s="195"/>
      <c r="BO1" s="195"/>
      <c r="BP1" s="195"/>
      <c r="BQ1" s="195"/>
      <c r="BR1" s="195"/>
      <c r="BS1" s="195"/>
      <c r="BT1" s="195"/>
      <c r="BU1" s="195"/>
      <c r="BV1" s="195"/>
      <c r="BW1" s="195"/>
      <c r="BX1" s="195"/>
      <c r="BY1" s="195"/>
      <c r="BZ1" s="195"/>
      <c r="CA1" s="195"/>
      <c r="CB1" s="195"/>
      <c r="CC1" s="195"/>
      <c r="CD1" s="195"/>
      <c r="CE1" s="195"/>
      <c r="CF1" s="195"/>
      <c r="CG1" s="195"/>
      <c r="CH1" s="195"/>
      <c r="CI1" s="195"/>
    </row>
    <row r="2" spans="1:87" s="37" customFormat="1" ht="44.45" customHeight="1">
      <c r="A2" s="23" t="s">
        <v>1</v>
      </c>
      <c r="B2" s="23" t="s">
        <v>2</v>
      </c>
      <c r="C2" s="24" t="s">
        <v>3</v>
      </c>
      <c r="D2" s="23" t="s">
        <v>4</v>
      </c>
      <c r="E2" s="25" t="s">
        <v>5</v>
      </c>
      <c r="F2" s="25" t="s">
        <v>37</v>
      </c>
      <c r="G2" s="25" t="s">
        <v>17</v>
      </c>
      <c r="H2" s="25" t="s">
        <v>309</v>
      </c>
      <c r="I2" s="25" t="s">
        <v>44</v>
      </c>
      <c r="J2" s="25" t="s">
        <v>160</v>
      </c>
      <c r="K2" s="25" t="s">
        <v>310</v>
      </c>
      <c r="L2" s="25" t="s">
        <v>311</v>
      </c>
      <c r="M2" s="25" t="s">
        <v>45</v>
      </c>
      <c r="N2" s="25" t="s">
        <v>312</v>
      </c>
      <c r="O2" s="25" t="s">
        <v>18</v>
      </c>
      <c r="P2" s="25" t="s">
        <v>313</v>
      </c>
      <c r="Q2" s="25" t="s">
        <v>136</v>
      </c>
      <c r="R2" s="25" t="s">
        <v>142</v>
      </c>
      <c r="S2" s="25" t="s">
        <v>314</v>
      </c>
      <c r="T2" s="25" t="s">
        <v>230</v>
      </c>
      <c r="U2" s="25" t="s">
        <v>315</v>
      </c>
      <c r="V2" s="25" t="s">
        <v>285</v>
      </c>
      <c r="W2" s="25" t="s">
        <v>42</v>
      </c>
      <c r="X2" s="25" t="s">
        <v>311</v>
      </c>
      <c r="Y2" s="25" t="s">
        <v>16</v>
      </c>
      <c r="Z2" s="25" t="s">
        <v>6</v>
      </c>
      <c r="AA2" s="23" t="s">
        <v>145</v>
      </c>
      <c r="AB2" s="23" t="s">
        <v>41</v>
      </c>
      <c r="AC2" s="23" t="s">
        <v>146</v>
      </c>
      <c r="AD2" s="23" t="s">
        <v>144</v>
      </c>
      <c r="AE2" s="23" t="s">
        <v>69</v>
      </c>
      <c r="AF2" s="23" t="s">
        <v>48</v>
      </c>
      <c r="AG2" s="23" t="s">
        <v>316</v>
      </c>
      <c r="AH2" s="23" t="s">
        <v>317</v>
      </c>
      <c r="AI2" s="23" t="s">
        <v>318</v>
      </c>
      <c r="AJ2" s="23" t="s">
        <v>231</v>
      </c>
      <c r="AK2" s="197" t="s">
        <v>319</v>
      </c>
      <c r="AL2" s="23" t="s">
        <v>147</v>
      </c>
      <c r="AM2" s="23" t="s">
        <v>320</v>
      </c>
      <c r="AN2" s="23" t="s">
        <v>135</v>
      </c>
      <c r="AO2" s="23" t="s">
        <v>321</v>
      </c>
      <c r="AP2" s="23" t="s">
        <v>57</v>
      </c>
      <c r="AQ2" s="23" t="s">
        <v>132</v>
      </c>
      <c r="AR2" s="23" t="s">
        <v>159</v>
      </c>
      <c r="AS2" s="23" t="s">
        <v>53</v>
      </c>
      <c r="AT2" s="23" t="s">
        <v>68</v>
      </c>
      <c r="AU2" s="23" t="s">
        <v>134</v>
      </c>
      <c r="AV2" s="23" t="s">
        <v>322</v>
      </c>
      <c r="AW2" s="23" t="s">
        <v>323</v>
      </c>
      <c r="AX2" s="23" t="s">
        <v>324</v>
      </c>
      <c r="AY2" s="23" t="s">
        <v>325</v>
      </c>
      <c r="AZ2" s="23" t="s">
        <v>326</v>
      </c>
      <c r="BA2" s="23" t="s">
        <v>143</v>
      </c>
      <c r="BB2" s="23" t="s">
        <v>67</v>
      </c>
      <c r="BC2" s="23" t="s">
        <v>327</v>
      </c>
      <c r="BD2" s="23" t="s">
        <v>219</v>
      </c>
      <c r="BE2" s="23" t="s">
        <v>14</v>
      </c>
      <c r="BF2" s="23" t="s">
        <v>46</v>
      </c>
      <c r="BG2" s="23" t="s">
        <v>328</v>
      </c>
      <c r="BH2" s="23" t="s">
        <v>277</v>
      </c>
      <c r="BI2" s="23" t="s">
        <v>329</v>
      </c>
      <c r="BJ2" s="25" t="s">
        <v>330</v>
      </c>
      <c r="BK2" s="198" t="s">
        <v>331</v>
      </c>
      <c r="BL2" s="25" t="s">
        <v>332</v>
      </c>
      <c r="BM2" s="25" t="s">
        <v>153</v>
      </c>
      <c r="BN2" s="25" t="s">
        <v>9</v>
      </c>
      <c r="BO2" s="25" t="s">
        <v>333</v>
      </c>
      <c r="BP2" s="25" t="s">
        <v>7</v>
      </c>
      <c r="BQ2" s="25" t="s">
        <v>221</v>
      </c>
      <c r="BR2" s="25" t="s">
        <v>334</v>
      </c>
      <c r="BS2" s="25" t="s">
        <v>160</v>
      </c>
      <c r="BT2" s="25" t="s">
        <v>335</v>
      </c>
      <c r="BU2" s="25" t="s">
        <v>52</v>
      </c>
      <c r="BV2" s="25" t="s">
        <v>10</v>
      </c>
      <c r="BW2" s="25" t="s">
        <v>336</v>
      </c>
      <c r="BX2" s="25" t="s">
        <v>5</v>
      </c>
      <c r="BY2" s="25"/>
      <c r="BZ2" s="170"/>
      <c r="CA2" s="170"/>
      <c r="CB2" s="170"/>
      <c r="CC2" s="170"/>
      <c r="CD2" s="170"/>
      <c r="CE2" s="170"/>
      <c r="CF2" s="170"/>
      <c r="CG2" s="170"/>
      <c r="CH2" s="170"/>
      <c r="CI2" s="170"/>
    </row>
    <row r="3" spans="1:87" s="40" customFormat="1" ht="11.25">
      <c r="A3" s="53">
        <v>46174</v>
      </c>
      <c r="B3" s="54" t="s">
        <v>337</v>
      </c>
      <c r="C3" s="54">
        <v>7747</v>
      </c>
      <c r="D3" s="54">
        <v>9990</v>
      </c>
      <c r="E3" s="55">
        <v>1490000</v>
      </c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>
        <f>F3+G3+H3+I3+J3+K3+L3+M3+N3+O3+P3+Q3+R3+S3+T3+U3+V3+W3+X3+Y3+Z3+AA3+AB3+AC3+AD3+AE3+AF3+AG3+AH3+AI3+AJ3+AK3+AL3+AM3+AN3+AO3+AP3+AQ3+AR3+AS3+AT3+AU3</f>
        <v>0</v>
      </c>
      <c r="AX3" s="55"/>
      <c r="BW3" s="56">
        <v>1490000</v>
      </c>
      <c r="BX3" s="56">
        <f>F3+G3+H3+I3+J3+K3+L3+M3+N3+O3+P3+Q3+R3+S3+T3+U3+V3+W3+X3+Y3+Z3+AA3+AB3+AC3+AD3+AE3+AF3+AG3+AH3+AI3+AJ3+AK3+AL3+AM3+AN3+AO3+AP3+AQ3+AR3+AS3+AT3+AU3+AV3+AW3+AX3+AY3+AZ3+BA3+BB3+BC3+BD3+BE3+BF3+BG3+BH3+BI3+BJ3+BK3+BL3+BM3+BN3+BO3+BP3+BQ3+BR3+BS3+BT3+BU3+BV3+BW3</f>
        <v>1490000</v>
      </c>
    </row>
    <row r="4" spans="1:87" s="40" customFormat="1" ht="29.45" customHeight="1">
      <c r="A4" s="53">
        <v>46175</v>
      </c>
      <c r="B4" s="54" t="s">
        <v>93</v>
      </c>
      <c r="C4" s="54">
        <v>7738</v>
      </c>
      <c r="D4" s="54">
        <v>9969</v>
      </c>
      <c r="E4" s="55">
        <v>1050000</v>
      </c>
      <c r="F4" s="55"/>
      <c r="G4" s="55"/>
      <c r="H4" s="55"/>
      <c r="I4" s="55"/>
      <c r="J4" s="55"/>
      <c r="K4" s="55"/>
      <c r="L4" s="55"/>
      <c r="M4" s="55">
        <v>1050000</v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>
        <v>0</v>
      </c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>
        <f>F4+K4+N4+O4+P4+Q4+R4+S4+T4+U4+V4+W4+X4+Y4+Z4+AA4+AB4+AC4+AD4+AE4+AF4+AG4+AH4+AI4+AJ4+AK4+AL4+AM4+AN4+AO4+AP4+AQ4+AR4+AS4+AT4+AU4+AV4+AW4+AX4+AY4+AZ4+BA4</f>
        <v>0</v>
      </c>
      <c r="BC4" s="55"/>
      <c r="BL4" s="54"/>
      <c r="BM4" s="54"/>
      <c r="BN4" s="54"/>
      <c r="BO4" s="54"/>
      <c r="BP4" s="54"/>
      <c r="BQ4" s="54"/>
      <c r="BR4" s="54"/>
      <c r="BS4" s="54"/>
      <c r="BT4" s="54"/>
      <c r="BU4" s="54"/>
      <c r="BV4" s="54"/>
      <c r="BW4" s="55"/>
      <c r="BX4" s="56">
        <f t="shared" ref="BX4:BX67" si="0">F4+G4+H4+I4+J4+K4+L4+M4+N4+O4+P4+Q4+R4+S4+T4+U4+V4+W4+X4+Y4+Z4+AA4+AB4+AC4+AD4+AE4+AF4+AG4+AH4+AI4+AJ4+AK4+AL4+AM4+AN4+AO4+AP4+AQ4+AR4+AS4+AT4+AU4+AV4+AW4+AX4+AY4+AZ4+BA4+BB4+BC4+BD4+BE4+BF4+BG4+BH4+BI4+BJ4+BK4+BL4+BM4+BN4+BO4+BP4+BQ4+BR4+BS4+BT4+BU4+BV4+BW4</f>
        <v>1050000</v>
      </c>
      <c r="BY4" s="54"/>
    </row>
    <row r="5" spans="1:87" s="40" customFormat="1" ht="29.45" customHeight="1">
      <c r="A5" s="53">
        <v>46175</v>
      </c>
      <c r="B5" s="54" t="s">
        <v>128</v>
      </c>
      <c r="C5" s="54">
        <v>7758</v>
      </c>
      <c r="D5" s="54">
        <v>10602</v>
      </c>
      <c r="E5" s="55">
        <v>3969000</v>
      </c>
      <c r="F5" s="55"/>
      <c r="G5" s="55"/>
      <c r="H5" s="55"/>
      <c r="I5" s="55"/>
      <c r="J5" s="55"/>
      <c r="K5" s="55">
        <v>3969000</v>
      </c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172"/>
      <c r="BL5" s="55"/>
      <c r="BM5" s="55"/>
      <c r="BN5" s="55"/>
      <c r="BO5" s="55"/>
      <c r="BP5" s="55"/>
      <c r="BQ5" s="55"/>
      <c r="BR5" s="55"/>
      <c r="BS5" s="55"/>
      <c r="BT5" s="55"/>
      <c r="BU5" s="55"/>
      <c r="BV5" s="55"/>
      <c r="BW5" s="55"/>
      <c r="BX5" s="56">
        <f t="shared" si="0"/>
        <v>3969000</v>
      </c>
      <c r="BY5" s="55"/>
      <c r="BZ5" s="56"/>
      <c r="CA5" s="56"/>
      <c r="CB5" s="56"/>
      <c r="CC5" s="56"/>
      <c r="CD5" s="56"/>
      <c r="CE5" s="56"/>
      <c r="CF5" s="56"/>
      <c r="CG5" s="56"/>
      <c r="CH5" s="56"/>
      <c r="CI5" s="56"/>
    </row>
    <row r="6" spans="1:87" s="40" customFormat="1" ht="29.45" customHeight="1">
      <c r="A6" s="53">
        <v>46175</v>
      </c>
      <c r="B6" s="54" t="s">
        <v>186</v>
      </c>
      <c r="C6" s="54">
        <v>7741</v>
      </c>
      <c r="D6" s="54">
        <v>9994</v>
      </c>
      <c r="E6" s="55">
        <v>370000</v>
      </c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>
        <v>370000</v>
      </c>
      <c r="BE6" s="55"/>
      <c r="BF6" s="55"/>
      <c r="BG6" s="55"/>
      <c r="BH6" s="55"/>
      <c r="BI6" s="55"/>
      <c r="BJ6" s="55"/>
      <c r="BK6" s="172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6">
        <f t="shared" si="0"/>
        <v>370000</v>
      </c>
      <c r="BY6" s="55"/>
      <c r="BZ6" s="56"/>
      <c r="CA6" s="56"/>
      <c r="CB6" s="56"/>
      <c r="CC6" s="56"/>
      <c r="CD6" s="56"/>
      <c r="CE6" s="56"/>
      <c r="CF6" s="56"/>
      <c r="CG6" s="56"/>
      <c r="CH6" s="56"/>
      <c r="CI6" s="56"/>
    </row>
    <row r="7" spans="1:87" s="40" customFormat="1" ht="29.45" customHeight="1">
      <c r="A7" s="53">
        <v>46175</v>
      </c>
      <c r="B7" s="54" t="s">
        <v>243</v>
      </c>
      <c r="C7" s="54">
        <v>7743</v>
      </c>
      <c r="D7" s="54">
        <v>9993</v>
      </c>
      <c r="E7" s="55">
        <v>475000</v>
      </c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>
        <v>475000</v>
      </c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>
        <f>F7+K7+M7+N7+O7+P7+Q7+R7+S7+T7+U7+V7+W7+X7+Y7+Z7+AA7+AB7+AC7+AD7+AE7+AF7+AG7+AH7+AI7+AJ7+AK7+AL7+AM7+AN7+AO7+AP7+AQ7+AR7+AS7+AT7+AU7+AV7+AW7+AX7+AY7+AZ7</f>
        <v>475000</v>
      </c>
      <c r="BB7" s="55"/>
      <c r="BK7" s="40">
        <v>475000</v>
      </c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4"/>
      <c r="BW7" s="55"/>
      <c r="BX7" s="56">
        <f t="shared" si="0"/>
        <v>1425000</v>
      </c>
      <c r="BY7" s="54"/>
    </row>
    <row r="8" spans="1:87" s="40" customFormat="1" ht="29.45" customHeight="1">
      <c r="A8" s="53">
        <v>46175</v>
      </c>
      <c r="B8" s="54" t="s">
        <v>338</v>
      </c>
      <c r="C8" s="54">
        <v>7751</v>
      </c>
      <c r="D8" s="54">
        <v>9987</v>
      </c>
      <c r="E8" s="55">
        <v>220000</v>
      </c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>
        <v>220000</v>
      </c>
      <c r="BF8" s="55"/>
      <c r="BG8" s="55"/>
      <c r="BH8" s="55"/>
      <c r="BI8" s="55"/>
      <c r="BJ8" s="55"/>
      <c r="BK8" s="172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6">
        <f t="shared" si="0"/>
        <v>220000</v>
      </c>
      <c r="BY8" s="55"/>
      <c r="BZ8" s="56"/>
      <c r="CA8" s="56"/>
      <c r="CB8" s="56"/>
      <c r="CC8" s="56"/>
      <c r="CD8" s="56"/>
      <c r="CE8" s="56"/>
      <c r="CF8" s="56"/>
      <c r="CG8" s="56"/>
      <c r="CH8" s="56"/>
      <c r="CI8" s="56"/>
    </row>
    <row r="9" spans="1:87" s="40" customFormat="1" ht="29.45" customHeight="1">
      <c r="A9" s="53">
        <v>46175</v>
      </c>
      <c r="B9" s="54" t="s">
        <v>126</v>
      </c>
      <c r="C9" s="54">
        <v>7716</v>
      </c>
      <c r="D9" s="54">
        <v>9849</v>
      </c>
      <c r="E9" s="55">
        <v>325590</v>
      </c>
      <c r="F9" s="55">
        <v>325590</v>
      </c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172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6">
        <f t="shared" si="0"/>
        <v>325590</v>
      </c>
      <c r="BY9" s="55"/>
      <c r="BZ9" s="56"/>
      <c r="CA9" s="56"/>
      <c r="CB9" s="56"/>
      <c r="CC9" s="56"/>
      <c r="CD9" s="56"/>
      <c r="CE9" s="56"/>
      <c r="CF9" s="56"/>
      <c r="CG9" s="56"/>
      <c r="CH9" s="56"/>
      <c r="CI9" s="56"/>
    </row>
    <row r="10" spans="1:87" s="40" customFormat="1" ht="29.45" customHeight="1">
      <c r="A10" s="53">
        <v>46175</v>
      </c>
      <c r="B10" s="54" t="s">
        <v>126</v>
      </c>
      <c r="C10" s="54">
        <v>7680</v>
      </c>
      <c r="D10" s="54"/>
      <c r="E10" s="55">
        <v>353460</v>
      </c>
      <c r="F10" s="55">
        <v>353460</v>
      </c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172"/>
      <c r="BL10" s="55"/>
      <c r="BM10" s="55"/>
      <c r="BN10" s="55"/>
      <c r="BO10" s="55"/>
      <c r="BP10" s="55"/>
      <c r="BQ10" s="55"/>
      <c r="BR10" s="55"/>
      <c r="BS10" s="55"/>
      <c r="BT10" s="55"/>
      <c r="BU10" s="55"/>
      <c r="BV10" s="55"/>
      <c r="BW10" s="55"/>
      <c r="BX10" s="56">
        <f t="shared" si="0"/>
        <v>353460</v>
      </c>
      <c r="BY10" s="55"/>
      <c r="BZ10" s="56"/>
      <c r="CA10" s="56"/>
      <c r="CB10" s="56"/>
      <c r="CC10" s="56"/>
      <c r="CD10" s="56"/>
      <c r="CE10" s="56"/>
      <c r="CF10" s="56"/>
      <c r="CG10" s="56"/>
      <c r="CH10" s="56"/>
      <c r="CI10" s="56"/>
    </row>
    <row r="11" spans="1:87" s="40" customFormat="1" ht="29.45" customHeight="1">
      <c r="A11" s="53">
        <v>46175</v>
      </c>
      <c r="B11" s="54" t="s">
        <v>126</v>
      </c>
      <c r="C11" s="54">
        <v>7757</v>
      </c>
      <c r="D11" s="54">
        <v>10603</v>
      </c>
      <c r="E11" s="55">
        <v>4762880</v>
      </c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>
        <v>4762880</v>
      </c>
      <c r="BG11" s="55"/>
      <c r="BH11" s="55"/>
      <c r="BI11" s="55"/>
      <c r="BJ11" s="55"/>
      <c r="BK11" s="172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6">
        <f t="shared" si="0"/>
        <v>4762880</v>
      </c>
      <c r="BY11" s="55"/>
      <c r="BZ11" s="56"/>
      <c r="CA11" s="56"/>
      <c r="CB11" s="56"/>
      <c r="CC11" s="56"/>
      <c r="CD11" s="56"/>
      <c r="CE11" s="56"/>
      <c r="CF11" s="56"/>
      <c r="CG11" s="56"/>
      <c r="CH11" s="56"/>
      <c r="CI11" s="56"/>
    </row>
    <row r="12" spans="1:87" s="40" customFormat="1" ht="29.45" customHeight="1">
      <c r="A12" s="53">
        <v>46175</v>
      </c>
      <c r="B12" s="54" t="s">
        <v>126</v>
      </c>
      <c r="C12" s="54">
        <v>7749</v>
      </c>
      <c r="D12" s="54">
        <v>9985</v>
      </c>
      <c r="E12" s="55">
        <v>343000</v>
      </c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>
        <v>343000</v>
      </c>
      <c r="BH12" s="55"/>
      <c r="BI12" s="55"/>
      <c r="BJ12" s="55"/>
      <c r="BK12" s="172"/>
      <c r="BL12" s="55"/>
      <c r="BM12" s="55"/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6">
        <f t="shared" si="0"/>
        <v>343000</v>
      </c>
      <c r="BY12" s="55"/>
      <c r="BZ12" s="56"/>
      <c r="CA12" s="56"/>
      <c r="CB12" s="56"/>
      <c r="CC12" s="56"/>
      <c r="CD12" s="56"/>
      <c r="CE12" s="56"/>
      <c r="CF12" s="56"/>
      <c r="CG12" s="56"/>
      <c r="CH12" s="56"/>
      <c r="CI12" s="56"/>
    </row>
    <row r="13" spans="1:87" s="40" customFormat="1" ht="29.45" customHeight="1">
      <c r="A13" s="53">
        <v>46175</v>
      </c>
      <c r="B13" s="54" t="s">
        <v>176</v>
      </c>
      <c r="C13" s="54">
        <v>7744</v>
      </c>
      <c r="D13" s="54">
        <v>9992</v>
      </c>
      <c r="E13" s="55">
        <v>1018400</v>
      </c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>
        <v>618400</v>
      </c>
      <c r="BI13" s="55">
        <v>500000</v>
      </c>
      <c r="BJ13" s="55"/>
      <c r="BK13" s="172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6">
        <f t="shared" si="0"/>
        <v>1118400</v>
      </c>
      <c r="BY13" s="55"/>
      <c r="BZ13" s="56"/>
      <c r="CA13" s="56"/>
      <c r="CB13" s="56"/>
      <c r="CC13" s="56"/>
      <c r="CD13" s="56"/>
      <c r="CE13" s="56"/>
      <c r="CF13" s="56"/>
      <c r="CG13" s="56"/>
      <c r="CH13" s="56"/>
      <c r="CI13" s="56"/>
    </row>
    <row r="14" spans="1:87" s="40" customFormat="1" ht="29.45" customHeight="1">
      <c r="A14" s="53">
        <v>46175</v>
      </c>
      <c r="B14" s="54" t="s">
        <v>339</v>
      </c>
      <c r="C14" s="54">
        <v>7761</v>
      </c>
      <c r="D14" s="54">
        <v>9998</v>
      </c>
      <c r="E14" s="55">
        <v>350000</v>
      </c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>
        <v>350000</v>
      </c>
      <c r="BG14" s="55"/>
      <c r="BH14" s="55"/>
      <c r="BI14" s="55"/>
      <c r="BJ14" s="55"/>
      <c r="BK14" s="172"/>
      <c r="BL14" s="55"/>
      <c r="BM14" s="55"/>
      <c r="BN14" s="55"/>
      <c r="BO14" s="55"/>
      <c r="BP14" s="55"/>
      <c r="BQ14" s="55"/>
      <c r="BR14" s="55"/>
      <c r="BS14" s="55"/>
      <c r="BT14" s="55"/>
      <c r="BU14" s="55"/>
      <c r="BV14" s="55"/>
      <c r="BW14" s="55"/>
      <c r="BX14" s="56">
        <f t="shared" si="0"/>
        <v>350000</v>
      </c>
      <c r="BY14" s="55"/>
      <c r="BZ14" s="56"/>
      <c r="CA14" s="56"/>
      <c r="CB14" s="56"/>
      <c r="CC14" s="56"/>
      <c r="CD14" s="56"/>
      <c r="CE14" s="56"/>
      <c r="CF14" s="56"/>
      <c r="CG14" s="56"/>
      <c r="CH14" s="56"/>
      <c r="CI14" s="56"/>
    </row>
    <row r="15" spans="1:87" s="40" customFormat="1" ht="29.45" customHeight="1">
      <c r="A15" s="53">
        <v>46175</v>
      </c>
      <c r="B15" s="54" t="s">
        <v>94</v>
      </c>
      <c r="C15" s="54">
        <v>7760</v>
      </c>
      <c r="D15" s="54">
        <v>10612</v>
      </c>
      <c r="E15" s="55">
        <v>4300000</v>
      </c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>
        <v>0</v>
      </c>
      <c r="BH15" s="55"/>
      <c r="BI15" s="55">
        <v>4300000</v>
      </c>
      <c r="BJ15" s="55"/>
      <c r="BK15" s="172"/>
      <c r="BL15" s="55"/>
      <c r="BM15" s="55"/>
      <c r="BN15" s="55"/>
      <c r="BO15" s="55"/>
      <c r="BP15" s="55"/>
      <c r="BQ15" s="55"/>
      <c r="BR15" s="55"/>
      <c r="BS15" s="55"/>
      <c r="BT15" s="55"/>
      <c r="BU15" s="55"/>
      <c r="BV15" s="55"/>
      <c r="BW15" s="55"/>
      <c r="BX15" s="56">
        <f t="shared" si="0"/>
        <v>4300000</v>
      </c>
      <c r="BY15" s="55"/>
      <c r="BZ15" s="56"/>
      <c r="CA15" s="56"/>
      <c r="CB15" s="56"/>
      <c r="CC15" s="56"/>
      <c r="CD15" s="56"/>
      <c r="CE15" s="56"/>
      <c r="CF15" s="56"/>
      <c r="CG15" s="56"/>
      <c r="CH15" s="56"/>
      <c r="CI15" s="56"/>
    </row>
    <row r="16" spans="1:87" s="40" customFormat="1" ht="29.45" customHeight="1">
      <c r="A16" s="53">
        <v>46175</v>
      </c>
      <c r="B16" s="54" t="s">
        <v>237</v>
      </c>
      <c r="C16" s="54">
        <v>7754</v>
      </c>
      <c r="D16" s="54">
        <v>9980</v>
      </c>
      <c r="E16" s="55">
        <v>1220000</v>
      </c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5"/>
      <c r="BF16" s="55"/>
      <c r="BG16" s="55"/>
      <c r="BH16" s="55"/>
      <c r="BI16" s="55"/>
      <c r="BJ16" s="55">
        <v>1220000</v>
      </c>
      <c r="BK16" s="172"/>
      <c r="BL16" s="55"/>
      <c r="BM16" s="55"/>
      <c r="BN16" s="55"/>
      <c r="BO16" s="55"/>
      <c r="BP16" s="55"/>
      <c r="BQ16" s="55"/>
      <c r="BR16" s="55"/>
      <c r="BS16" s="55"/>
      <c r="BT16" s="55"/>
      <c r="BU16" s="55"/>
      <c r="BV16" s="55"/>
      <c r="BW16" s="55"/>
      <c r="BX16" s="56">
        <f t="shared" si="0"/>
        <v>1220000</v>
      </c>
      <c r="BY16" s="55"/>
      <c r="BZ16" s="56"/>
      <c r="CA16" s="56"/>
      <c r="CB16" s="56"/>
      <c r="CC16" s="56"/>
      <c r="CD16" s="56"/>
      <c r="CE16" s="56"/>
      <c r="CF16" s="56"/>
      <c r="CG16" s="56"/>
      <c r="CH16" s="56"/>
      <c r="CI16" s="56"/>
    </row>
    <row r="17" spans="1:87" s="40" customFormat="1" ht="29.45" customHeight="1">
      <c r="A17" s="53">
        <v>46177</v>
      </c>
      <c r="B17" s="54" t="s">
        <v>250</v>
      </c>
      <c r="C17" s="54">
        <v>7727</v>
      </c>
      <c r="D17" s="54">
        <v>9952</v>
      </c>
      <c r="E17" s="55">
        <v>200000</v>
      </c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5"/>
      <c r="BF17" s="55"/>
      <c r="BG17" s="55"/>
      <c r="BH17" s="55"/>
      <c r="BI17" s="55"/>
      <c r="BJ17" s="55"/>
      <c r="BK17" s="172">
        <v>200000</v>
      </c>
      <c r="BL17" s="55"/>
      <c r="BM17" s="55"/>
      <c r="BN17" s="55"/>
      <c r="BO17" s="55"/>
      <c r="BP17" s="55"/>
      <c r="BQ17" s="55"/>
      <c r="BR17" s="55"/>
      <c r="BS17" s="55"/>
      <c r="BT17" s="55"/>
      <c r="BU17" s="55"/>
      <c r="BV17" s="55"/>
      <c r="BW17" s="55"/>
      <c r="BX17" s="56">
        <f t="shared" si="0"/>
        <v>200000</v>
      </c>
      <c r="BY17" s="55"/>
      <c r="BZ17" s="56"/>
      <c r="CA17" s="56"/>
      <c r="CB17" s="56"/>
      <c r="CC17" s="56"/>
      <c r="CD17" s="56"/>
      <c r="CE17" s="56"/>
      <c r="CF17" s="56"/>
      <c r="CG17" s="56"/>
      <c r="CH17" s="56"/>
      <c r="CI17" s="56"/>
    </row>
    <row r="18" spans="1:87" s="191" customFormat="1" ht="29.45" customHeight="1">
      <c r="A18" s="199">
        <v>46177</v>
      </c>
      <c r="B18" s="200" t="s">
        <v>172</v>
      </c>
      <c r="C18" s="200">
        <v>7767</v>
      </c>
      <c r="D18" s="200"/>
      <c r="E18" s="201">
        <v>107442000</v>
      </c>
      <c r="F18" s="201">
        <v>6858000</v>
      </c>
      <c r="G18" s="201"/>
      <c r="H18" s="201"/>
      <c r="I18" s="201"/>
      <c r="J18" s="201"/>
      <c r="K18" s="201"/>
      <c r="L18" s="201"/>
      <c r="M18" s="201"/>
      <c r="N18" s="201"/>
      <c r="O18" s="201"/>
      <c r="P18" s="201"/>
      <c r="Q18" s="201"/>
      <c r="R18" s="201"/>
      <c r="S18" s="201"/>
      <c r="T18" s="201">
        <v>0</v>
      </c>
      <c r="U18" s="201"/>
      <c r="V18" s="201"/>
      <c r="W18" s="201"/>
      <c r="X18" s="201"/>
      <c r="Y18" s="201"/>
      <c r="Z18" s="201"/>
      <c r="AA18" s="201">
        <f>105000</f>
        <v>105000</v>
      </c>
      <c r="AB18" s="201">
        <f>70000+490000+6070000+490000</f>
        <v>7120000</v>
      </c>
      <c r="AC18" s="201">
        <f>2500000+20125000+260000+6750000+1750000+5000000</f>
        <v>36385000</v>
      </c>
      <c r="AD18" s="201">
        <f>15120000+9000000+7200000</f>
        <v>31320000</v>
      </c>
      <c r="AE18" s="201">
        <f>2170000+24800000+12400000</f>
        <v>39370000</v>
      </c>
      <c r="AF18" s="201"/>
      <c r="AG18" s="201"/>
      <c r="AH18" s="201"/>
      <c r="AI18" s="201"/>
      <c r="AJ18" s="201"/>
      <c r="AK18" s="201"/>
      <c r="AL18" s="201"/>
      <c r="AM18" s="201"/>
      <c r="AN18" s="201"/>
      <c r="AO18" s="201"/>
      <c r="AP18" s="201"/>
      <c r="AQ18" s="201"/>
      <c r="AR18" s="201"/>
      <c r="AS18" s="201"/>
      <c r="AT18" s="201"/>
      <c r="AU18" s="201"/>
      <c r="AV18" s="201"/>
      <c r="AW18" s="201"/>
      <c r="AX18" s="201"/>
      <c r="AY18" s="201"/>
      <c r="AZ18" s="201"/>
      <c r="BA18" s="201"/>
      <c r="BB18" s="201"/>
      <c r="BC18" s="201"/>
      <c r="BD18" s="201"/>
      <c r="BE18" s="201"/>
      <c r="BF18" s="201"/>
      <c r="BG18" s="201"/>
      <c r="BH18" s="201"/>
      <c r="BI18" s="201"/>
      <c r="BJ18" s="201"/>
      <c r="BK18" s="202"/>
      <c r="BL18" s="201"/>
      <c r="BM18" s="201"/>
      <c r="BN18" s="201"/>
      <c r="BO18" s="201"/>
      <c r="BP18" s="201"/>
      <c r="BQ18" s="201"/>
      <c r="BR18" s="201"/>
      <c r="BS18" s="201"/>
      <c r="BT18" s="201"/>
      <c r="BU18" s="201"/>
      <c r="BV18" s="201"/>
      <c r="BW18" s="201"/>
      <c r="BX18" s="56">
        <f t="shared" si="0"/>
        <v>121158000</v>
      </c>
      <c r="BY18" s="201"/>
      <c r="BZ18" s="203"/>
      <c r="CA18" s="203"/>
      <c r="CB18" s="203"/>
      <c r="CC18" s="203"/>
      <c r="CD18" s="203"/>
      <c r="CE18" s="203"/>
      <c r="CF18" s="203"/>
      <c r="CG18" s="203"/>
      <c r="CH18" s="203"/>
      <c r="CI18" s="203"/>
    </row>
    <row r="19" spans="1:87" s="40" customFormat="1" ht="29.45" customHeight="1">
      <c r="A19" s="53">
        <v>46177</v>
      </c>
      <c r="B19" s="54" t="s">
        <v>94</v>
      </c>
      <c r="C19" s="54">
        <v>7768</v>
      </c>
      <c r="D19" s="54">
        <v>9749</v>
      </c>
      <c r="E19" s="55">
        <v>1300000</v>
      </c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55"/>
      <c r="BJ19" s="55"/>
      <c r="BK19" s="172">
        <v>1300000</v>
      </c>
      <c r="BL19" s="55"/>
      <c r="BM19" s="55"/>
      <c r="BN19" s="55"/>
      <c r="BO19" s="55"/>
      <c r="BP19" s="55"/>
      <c r="BQ19" s="55"/>
      <c r="BR19" s="55"/>
      <c r="BS19" s="55"/>
      <c r="BT19" s="55"/>
      <c r="BU19" s="55"/>
      <c r="BV19" s="55"/>
      <c r="BW19" s="55"/>
      <c r="BX19" s="56">
        <f t="shared" si="0"/>
        <v>1300000</v>
      </c>
      <c r="BY19" s="55"/>
      <c r="BZ19" s="56"/>
      <c r="CA19" s="56"/>
      <c r="CB19" s="56"/>
      <c r="CC19" s="56"/>
      <c r="CD19" s="56"/>
      <c r="CE19" s="56"/>
      <c r="CF19" s="56"/>
      <c r="CG19" s="56"/>
      <c r="CH19" s="56"/>
      <c r="CI19" s="56"/>
    </row>
    <row r="20" spans="1:87" s="40" customFormat="1" ht="29.45" customHeight="1">
      <c r="A20" s="53">
        <v>46177</v>
      </c>
      <c r="B20" s="54" t="s">
        <v>126</v>
      </c>
      <c r="C20" s="54">
        <v>7766</v>
      </c>
      <c r="D20" s="54">
        <v>9748</v>
      </c>
      <c r="E20" s="55">
        <v>19456980</v>
      </c>
      <c r="F20" s="55">
        <v>19456980</v>
      </c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55"/>
      <c r="BJ20" s="55"/>
      <c r="BK20" s="172"/>
      <c r="BL20" s="55"/>
      <c r="BM20" s="55"/>
      <c r="BN20" s="55"/>
      <c r="BO20" s="55"/>
      <c r="BP20" s="55"/>
      <c r="BQ20" s="55"/>
      <c r="BR20" s="55"/>
      <c r="BS20" s="55"/>
      <c r="BT20" s="55"/>
      <c r="BU20" s="55"/>
      <c r="BV20" s="55"/>
      <c r="BW20" s="55"/>
      <c r="BX20" s="56">
        <f t="shared" si="0"/>
        <v>19456980</v>
      </c>
      <c r="BY20" s="55"/>
      <c r="BZ20" s="56"/>
      <c r="CA20" s="56"/>
      <c r="CB20" s="56"/>
      <c r="CC20" s="56"/>
      <c r="CD20" s="56"/>
      <c r="CE20" s="56"/>
      <c r="CF20" s="56"/>
      <c r="CG20" s="56"/>
      <c r="CH20" s="56"/>
      <c r="CI20" s="56"/>
    </row>
    <row r="21" spans="1:87" s="40" customFormat="1" ht="29.45" customHeight="1">
      <c r="A21" s="53">
        <v>46177</v>
      </c>
      <c r="B21" s="54" t="s">
        <v>238</v>
      </c>
      <c r="C21" s="54">
        <v>7771</v>
      </c>
      <c r="D21" s="54">
        <v>10623</v>
      </c>
      <c r="E21" s="55">
        <v>420000</v>
      </c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5">
        <v>420000</v>
      </c>
      <c r="BK21" s="172"/>
      <c r="BL21" s="55"/>
      <c r="BM21" s="55"/>
      <c r="BN21" s="55"/>
      <c r="BO21" s="55"/>
      <c r="BP21" s="55"/>
      <c r="BQ21" s="55"/>
      <c r="BR21" s="55"/>
      <c r="BS21" s="55"/>
      <c r="BT21" s="55"/>
      <c r="BU21" s="55"/>
      <c r="BV21" s="55"/>
      <c r="BW21" s="55"/>
      <c r="BX21" s="56">
        <f t="shared" si="0"/>
        <v>420000</v>
      </c>
      <c r="BY21" s="55"/>
      <c r="BZ21" s="56"/>
      <c r="CA21" s="56"/>
      <c r="CB21" s="56"/>
      <c r="CC21" s="56"/>
      <c r="CD21" s="56"/>
      <c r="CE21" s="56"/>
      <c r="CF21" s="56"/>
      <c r="CG21" s="56"/>
      <c r="CH21" s="56"/>
      <c r="CI21" s="56"/>
    </row>
    <row r="22" spans="1:87" s="40" customFormat="1" ht="29.45" customHeight="1">
      <c r="A22" s="53">
        <v>46177</v>
      </c>
      <c r="B22" s="54" t="s">
        <v>340</v>
      </c>
      <c r="C22" s="54">
        <v>7774</v>
      </c>
      <c r="D22" s="54">
        <v>10627</v>
      </c>
      <c r="E22" s="55">
        <v>200000</v>
      </c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5"/>
      <c r="BK22" s="172"/>
      <c r="BL22" s="55"/>
      <c r="BM22" s="55">
        <v>200000</v>
      </c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6">
        <f t="shared" si="0"/>
        <v>200000</v>
      </c>
      <c r="BY22" s="55"/>
      <c r="BZ22" s="56"/>
      <c r="CA22" s="56"/>
      <c r="CB22" s="56"/>
      <c r="CC22" s="56"/>
      <c r="CD22" s="56"/>
      <c r="CE22" s="56"/>
      <c r="CF22" s="56"/>
      <c r="CG22" s="56"/>
      <c r="CH22" s="56"/>
      <c r="CI22" s="56"/>
    </row>
    <row r="23" spans="1:87" s="40" customFormat="1" ht="29.45" customHeight="1">
      <c r="A23" s="53">
        <v>46179</v>
      </c>
      <c r="B23" s="54" t="s">
        <v>94</v>
      </c>
      <c r="C23" s="54">
        <v>7775</v>
      </c>
      <c r="D23" s="54">
        <v>10624</v>
      </c>
      <c r="E23" s="55">
        <v>2000000</v>
      </c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5"/>
      <c r="BK23" s="172">
        <v>2000000</v>
      </c>
      <c r="BL23" s="55"/>
      <c r="BM23" s="55"/>
      <c r="BN23" s="55"/>
      <c r="BO23" s="55"/>
      <c r="BP23" s="55"/>
      <c r="BQ23" s="55"/>
      <c r="BR23" s="55"/>
      <c r="BS23" s="55"/>
      <c r="BT23" s="55"/>
      <c r="BU23" s="55"/>
      <c r="BV23" s="55"/>
      <c r="BW23" s="55"/>
      <c r="BX23" s="56">
        <f t="shared" si="0"/>
        <v>2000000</v>
      </c>
      <c r="BY23" s="55"/>
      <c r="BZ23" s="56"/>
      <c r="CA23" s="56"/>
      <c r="CB23" s="56"/>
      <c r="CC23" s="56"/>
      <c r="CD23" s="56"/>
      <c r="CE23" s="56"/>
      <c r="CF23" s="56"/>
      <c r="CG23" s="56"/>
      <c r="CH23" s="56"/>
      <c r="CI23" s="56"/>
    </row>
    <row r="24" spans="1:87" s="40" customFormat="1" ht="29.45" customHeight="1">
      <c r="A24" s="53">
        <v>46179</v>
      </c>
      <c r="B24" s="54" t="s">
        <v>94</v>
      </c>
      <c r="C24" s="54">
        <v>7778</v>
      </c>
      <c r="D24" s="54">
        <v>10622</v>
      </c>
      <c r="E24" s="55">
        <v>600000</v>
      </c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55">
        <v>600000</v>
      </c>
      <c r="BJ24" s="55"/>
      <c r="BK24" s="172"/>
      <c r="BL24" s="55"/>
      <c r="BM24" s="55"/>
      <c r="BN24" s="55"/>
      <c r="BO24" s="55"/>
      <c r="BP24" s="55"/>
      <c r="BQ24" s="55"/>
      <c r="BR24" s="55"/>
      <c r="BS24" s="55"/>
      <c r="BT24" s="55"/>
      <c r="BU24" s="55"/>
      <c r="BV24" s="55"/>
      <c r="BW24" s="55"/>
      <c r="BX24" s="56">
        <f t="shared" si="0"/>
        <v>600000</v>
      </c>
      <c r="BY24" s="55"/>
      <c r="BZ24" s="56"/>
      <c r="CA24" s="56"/>
      <c r="CB24" s="56"/>
      <c r="CC24" s="56"/>
      <c r="CD24" s="56"/>
      <c r="CE24" s="56"/>
      <c r="CF24" s="56"/>
      <c r="CG24" s="56"/>
      <c r="CH24" s="56"/>
      <c r="CI24" s="56"/>
    </row>
    <row r="25" spans="1:87" s="40" customFormat="1" ht="29.45" customHeight="1">
      <c r="A25" s="53">
        <v>46179</v>
      </c>
      <c r="B25" s="54" t="s">
        <v>94</v>
      </c>
      <c r="C25" s="54">
        <v>7779</v>
      </c>
      <c r="D25" s="54">
        <v>10620</v>
      </c>
      <c r="E25" s="55">
        <v>400000</v>
      </c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55">
        <v>400000</v>
      </c>
      <c r="BJ25" s="55"/>
      <c r="BK25" s="172"/>
      <c r="BL25" s="55"/>
      <c r="BM25" s="55"/>
      <c r="BN25" s="55"/>
      <c r="BO25" s="55"/>
      <c r="BP25" s="55"/>
      <c r="BQ25" s="55"/>
      <c r="BR25" s="55"/>
      <c r="BS25" s="55"/>
      <c r="BT25" s="55"/>
      <c r="BU25" s="55"/>
      <c r="BV25" s="55"/>
      <c r="BW25" s="55"/>
      <c r="BX25" s="56">
        <f t="shared" si="0"/>
        <v>400000</v>
      </c>
      <c r="BY25" s="55"/>
      <c r="BZ25" s="56"/>
      <c r="CA25" s="56"/>
      <c r="CB25" s="56"/>
      <c r="CC25" s="56"/>
      <c r="CD25" s="56"/>
      <c r="CE25" s="56"/>
      <c r="CF25" s="56"/>
      <c r="CG25" s="56"/>
      <c r="CH25" s="56"/>
      <c r="CI25" s="56"/>
    </row>
    <row r="26" spans="1:87" s="40" customFormat="1" ht="29.45" customHeight="1">
      <c r="A26" s="53">
        <v>46179</v>
      </c>
      <c r="B26" s="54" t="s">
        <v>208</v>
      </c>
      <c r="C26" s="54">
        <v>7780</v>
      </c>
      <c r="D26" s="54">
        <v>10632</v>
      </c>
      <c r="E26" s="55">
        <v>1000000</v>
      </c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55"/>
      <c r="BJ26" s="55"/>
      <c r="BK26" s="172"/>
      <c r="BL26" s="55"/>
      <c r="BM26" s="55"/>
      <c r="BN26" s="55">
        <v>1000000</v>
      </c>
      <c r="BO26" s="55"/>
      <c r="BP26" s="55"/>
      <c r="BQ26" s="55"/>
      <c r="BR26" s="55"/>
      <c r="BS26" s="55"/>
      <c r="BT26" s="55"/>
      <c r="BU26" s="55"/>
      <c r="BV26" s="55"/>
      <c r="BW26" s="55"/>
      <c r="BX26" s="56">
        <f t="shared" si="0"/>
        <v>1000000</v>
      </c>
      <c r="BY26" s="55"/>
      <c r="BZ26" s="56"/>
      <c r="CA26" s="56"/>
      <c r="CB26" s="56"/>
      <c r="CC26" s="56"/>
      <c r="CD26" s="56"/>
      <c r="CE26" s="56"/>
      <c r="CF26" s="56"/>
      <c r="CG26" s="56"/>
      <c r="CH26" s="56"/>
      <c r="CI26" s="56"/>
    </row>
    <row r="27" spans="1:87" s="40" customFormat="1" ht="29.45" customHeight="1">
      <c r="A27" s="53">
        <v>46179</v>
      </c>
      <c r="B27" s="54" t="s">
        <v>341</v>
      </c>
      <c r="C27" s="54">
        <v>7772</v>
      </c>
      <c r="D27" s="54">
        <v>10625</v>
      </c>
      <c r="E27" s="55">
        <v>2000000</v>
      </c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>
        <v>2000000</v>
      </c>
      <c r="BG27" s="55"/>
      <c r="BH27" s="55"/>
      <c r="BI27" s="55"/>
      <c r="BJ27" s="55"/>
      <c r="BK27" s="172"/>
      <c r="BL27" s="55"/>
      <c r="BM27" s="55"/>
      <c r="BN27" s="55"/>
      <c r="BO27" s="55"/>
      <c r="BP27" s="55"/>
      <c r="BQ27" s="55"/>
      <c r="BR27" s="55"/>
      <c r="BS27" s="55"/>
      <c r="BT27" s="55"/>
      <c r="BU27" s="55"/>
      <c r="BV27" s="55"/>
      <c r="BW27" s="55"/>
      <c r="BX27" s="56">
        <f t="shared" si="0"/>
        <v>2000000</v>
      </c>
      <c r="BY27" s="55"/>
      <c r="BZ27" s="56"/>
      <c r="CA27" s="56"/>
      <c r="CB27" s="56"/>
      <c r="CC27" s="56"/>
      <c r="CD27" s="56"/>
      <c r="CE27" s="56"/>
      <c r="CF27" s="56"/>
      <c r="CG27" s="56"/>
      <c r="CH27" s="56"/>
      <c r="CI27" s="56"/>
    </row>
    <row r="28" spans="1:87" s="40" customFormat="1" ht="29.45" customHeight="1">
      <c r="A28" s="53">
        <v>46179</v>
      </c>
      <c r="B28" s="54" t="s">
        <v>93</v>
      </c>
      <c r="C28" s="54">
        <v>7773</v>
      </c>
      <c r="D28" s="54">
        <v>10626</v>
      </c>
      <c r="E28" s="55">
        <v>4970000</v>
      </c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55"/>
      <c r="BJ28" s="55"/>
      <c r="BK28" s="172"/>
      <c r="BL28" s="55"/>
      <c r="BM28" s="55"/>
      <c r="BN28" s="55"/>
      <c r="BO28" s="55">
        <v>4970000</v>
      </c>
      <c r="BP28" s="55"/>
      <c r="BQ28" s="55"/>
      <c r="BR28" s="55"/>
      <c r="BS28" s="55"/>
      <c r="BT28" s="55"/>
      <c r="BU28" s="55"/>
      <c r="BV28" s="55"/>
      <c r="BW28" s="55"/>
      <c r="BX28" s="56">
        <f t="shared" si="0"/>
        <v>4970000</v>
      </c>
      <c r="BY28" s="55"/>
      <c r="BZ28" s="56"/>
      <c r="CA28" s="56"/>
      <c r="CB28" s="56"/>
      <c r="CC28" s="56"/>
      <c r="CD28" s="56"/>
      <c r="CE28" s="56"/>
      <c r="CF28" s="56"/>
      <c r="CG28" s="56"/>
      <c r="CH28" s="56"/>
      <c r="CI28" s="56"/>
    </row>
    <row r="29" spans="1:87" s="40" customFormat="1" ht="29.45" customHeight="1">
      <c r="A29" s="53">
        <v>46182</v>
      </c>
      <c r="B29" s="54" t="s">
        <v>30</v>
      </c>
      <c r="C29" s="54">
        <v>7784</v>
      </c>
      <c r="D29" s="54">
        <v>10643</v>
      </c>
      <c r="E29" s="55">
        <v>3400000</v>
      </c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5"/>
      <c r="BF29" s="55"/>
      <c r="BG29" s="55"/>
      <c r="BH29" s="55"/>
      <c r="BI29" s="55"/>
      <c r="BJ29" s="55"/>
      <c r="BK29" s="172">
        <v>1550000</v>
      </c>
      <c r="BL29" s="55"/>
      <c r="BM29" s="55"/>
      <c r="BN29" s="55"/>
      <c r="BO29" s="55"/>
      <c r="BP29" s="55">
        <v>1850000</v>
      </c>
      <c r="BQ29" s="55"/>
      <c r="BR29" s="55"/>
      <c r="BS29" s="55"/>
      <c r="BT29" s="55"/>
      <c r="BU29" s="55"/>
      <c r="BV29" s="55"/>
      <c r="BW29" s="55"/>
      <c r="BX29" s="56">
        <f t="shared" si="0"/>
        <v>3400000</v>
      </c>
      <c r="BY29" s="55"/>
      <c r="BZ29" s="56"/>
      <c r="CA29" s="56"/>
      <c r="CB29" s="56"/>
      <c r="CC29" s="56"/>
      <c r="CD29" s="56"/>
      <c r="CE29" s="56"/>
      <c r="CF29" s="56"/>
      <c r="CG29" s="56"/>
      <c r="CH29" s="56"/>
      <c r="CI29" s="56"/>
    </row>
    <row r="30" spans="1:87" s="40" customFormat="1" ht="29.45" customHeight="1">
      <c r="A30" s="53">
        <v>46182</v>
      </c>
      <c r="B30" s="54" t="s">
        <v>74</v>
      </c>
      <c r="C30" s="54">
        <v>7792</v>
      </c>
      <c r="D30" s="50" t="s">
        <v>342</v>
      </c>
      <c r="E30" s="55">
        <v>960000</v>
      </c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5"/>
      <c r="BF30" s="55"/>
      <c r="BG30" s="55">
        <v>120000</v>
      </c>
      <c r="BH30" s="55"/>
      <c r="BI30" s="55"/>
      <c r="BJ30" s="55"/>
      <c r="BK30" s="172">
        <v>600000</v>
      </c>
      <c r="BL30" s="55"/>
      <c r="BM30" s="55"/>
      <c r="BN30" s="55"/>
      <c r="BO30" s="55"/>
      <c r="BP30" s="55"/>
      <c r="BQ30" s="55"/>
      <c r="BR30" s="55"/>
      <c r="BS30" s="55"/>
      <c r="BT30" s="55"/>
      <c r="BU30" s="55"/>
      <c r="BV30" s="55"/>
      <c r="BW30" s="55"/>
      <c r="BX30" s="56">
        <f t="shared" si="0"/>
        <v>720000</v>
      </c>
      <c r="BY30" s="55"/>
      <c r="BZ30" s="56"/>
      <c r="CA30" s="56"/>
      <c r="CB30" s="56"/>
      <c r="CC30" s="56"/>
      <c r="CD30" s="56"/>
      <c r="CE30" s="56"/>
      <c r="CF30" s="56"/>
      <c r="CG30" s="56"/>
      <c r="CH30" s="56"/>
      <c r="CI30" s="56"/>
    </row>
    <row r="31" spans="1:87" ht="29.45" customHeight="1">
      <c r="A31" s="204">
        <v>46182</v>
      </c>
      <c r="B31" s="188" t="s">
        <v>188</v>
      </c>
      <c r="C31" s="188">
        <v>7788</v>
      </c>
      <c r="D31" s="188">
        <v>10638</v>
      </c>
      <c r="E31" s="189">
        <v>1266000</v>
      </c>
      <c r="F31" s="189"/>
      <c r="G31" s="189"/>
      <c r="H31" s="189"/>
      <c r="I31" s="189"/>
      <c r="J31" s="189"/>
      <c r="K31" s="189"/>
      <c r="L31" s="189"/>
      <c r="M31" s="189"/>
      <c r="N31" s="189"/>
      <c r="O31" s="189"/>
      <c r="P31" s="189"/>
      <c r="Q31" s="189"/>
      <c r="R31" s="189"/>
      <c r="S31" s="189"/>
      <c r="T31" s="189"/>
      <c r="U31" s="189"/>
      <c r="V31" s="189"/>
      <c r="W31" s="189"/>
      <c r="X31" s="189"/>
      <c r="Y31" s="189"/>
      <c r="Z31" s="189"/>
      <c r="AA31" s="189"/>
      <c r="AB31" s="189"/>
      <c r="AC31" s="189"/>
      <c r="AD31" s="189"/>
      <c r="AE31" s="189"/>
      <c r="AF31" s="189"/>
      <c r="AG31" s="189"/>
      <c r="AH31" s="189"/>
      <c r="AI31" s="189"/>
      <c r="AJ31" s="189"/>
      <c r="AK31" s="205"/>
      <c r="AL31" s="189"/>
      <c r="AM31" s="189"/>
      <c r="AN31" s="189"/>
      <c r="AO31" s="189"/>
      <c r="AP31" s="189"/>
      <c r="AQ31" s="189"/>
      <c r="AR31" s="189"/>
      <c r="AS31" s="189"/>
      <c r="AT31" s="189"/>
      <c r="AU31" s="189"/>
      <c r="AV31" s="189"/>
      <c r="AW31" s="189"/>
      <c r="AX31" s="189"/>
      <c r="AY31" s="189"/>
      <c r="AZ31" s="189"/>
      <c r="BA31" s="189"/>
      <c r="BB31" s="189"/>
      <c r="BC31" s="189">
        <v>1266000</v>
      </c>
      <c r="BD31" s="189"/>
      <c r="BE31" s="189"/>
      <c r="BF31" s="189"/>
      <c r="BG31" s="189"/>
      <c r="BH31" s="189"/>
      <c r="BI31" s="189"/>
      <c r="BJ31" s="189"/>
      <c r="BK31" s="206"/>
      <c r="BL31" s="189"/>
      <c r="BM31" s="189"/>
      <c r="BN31" s="189"/>
      <c r="BO31" s="189"/>
      <c r="BP31" s="189"/>
      <c r="BQ31" s="189"/>
      <c r="BR31" s="189"/>
      <c r="BS31" s="189"/>
      <c r="BT31" s="189"/>
      <c r="BU31" s="189"/>
      <c r="BV31" s="189"/>
      <c r="BW31" s="189"/>
      <c r="BX31" s="56">
        <f t="shared" si="0"/>
        <v>1266000</v>
      </c>
      <c r="BY31" s="189"/>
    </row>
    <row r="32" spans="1:87" s="40" customFormat="1" ht="29.45" customHeight="1">
      <c r="A32" s="53">
        <v>46182</v>
      </c>
      <c r="B32" s="54" t="s">
        <v>74</v>
      </c>
      <c r="C32" s="54">
        <v>7782</v>
      </c>
      <c r="D32" s="54">
        <v>10679</v>
      </c>
      <c r="E32" s="55">
        <v>2932500</v>
      </c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>
        <v>330000</v>
      </c>
      <c r="AY32" s="55"/>
      <c r="AZ32" s="55"/>
      <c r="BA32" s="55">
        <v>472500</v>
      </c>
      <c r="BB32" s="55">
        <v>1980000</v>
      </c>
      <c r="BC32" s="55"/>
      <c r="BD32" s="55">
        <v>84000</v>
      </c>
      <c r="BE32" s="55"/>
      <c r="BF32" s="55"/>
      <c r="BG32" s="55"/>
      <c r="BH32" s="55"/>
      <c r="BI32" s="55"/>
      <c r="BJ32" s="55"/>
      <c r="BK32" s="172">
        <v>150000</v>
      </c>
      <c r="BL32" s="55"/>
      <c r="BM32" s="55"/>
      <c r="BN32" s="55"/>
      <c r="BO32" s="55"/>
      <c r="BP32" s="55"/>
      <c r="BQ32" s="55"/>
      <c r="BR32" s="55"/>
      <c r="BS32" s="55"/>
      <c r="BT32" s="55"/>
      <c r="BU32" s="55"/>
      <c r="BV32" s="55"/>
      <c r="BW32" s="55"/>
      <c r="BX32" s="56">
        <f t="shared" si="0"/>
        <v>3016500</v>
      </c>
      <c r="BY32" s="55"/>
      <c r="BZ32" s="56"/>
      <c r="CA32" s="56"/>
      <c r="CB32" s="56"/>
      <c r="CC32" s="56"/>
      <c r="CD32" s="56"/>
      <c r="CE32" s="56"/>
      <c r="CF32" s="56"/>
      <c r="CG32" s="56"/>
      <c r="CH32" s="56"/>
      <c r="CI32" s="56"/>
    </row>
    <row r="33" spans="1:87" s="40" customFormat="1" ht="29.45" customHeight="1">
      <c r="A33" s="53">
        <v>46182</v>
      </c>
      <c r="B33" s="54" t="s">
        <v>175</v>
      </c>
      <c r="C33" s="54">
        <v>7787</v>
      </c>
      <c r="D33" s="54">
        <v>10641</v>
      </c>
      <c r="E33" s="55">
        <v>570000</v>
      </c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>
        <v>570000</v>
      </c>
      <c r="AY33" s="55"/>
      <c r="AZ33" s="55"/>
      <c r="BA33" s="55"/>
      <c r="BB33" s="55"/>
      <c r="BC33" s="55"/>
      <c r="BD33" s="55"/>
      <c r="BE33" s="55"/>
      <c r="BF33" s="55"/>
      <c r="BG33" s="55"/>
      <c r="BH33" s="55"/>
      <c r="BI33" s="55"/>
      <c r="BJ33" s="55"/>
      <c r="BK33" s="172"/>
      <c r="BL33" s="55"/>
      <c r="BM33" s="55"/>
      <c r="BN33" s="55"/>
      <c r="BO33" s="55"/>
      <c r="BP33" s="55"/>
      <c r="BQ33" s="55"/>
      <c r="BR33" s="55"/>
      <c r="BS33" s="55"/>
      <c r="BT33" s="55"/>
      <c r="BU33" s="55"/>
      <c r="BV33" s="55"/>
      <c r="BW33" s="55"/>
      <c r="BX33" s="56">
        <f t="shared" si="0"/>
        <v>570000</v>
      </c>
      <c r="BY33" s="55"/>
      <c r="BZ33" s="56"/>
      <c r="CA33" s="56"/>
      <c r="CB33" s="56"/>
      <c r="CC33" s="56"/>
      <c r="CD33" s="56"/>
      <c r="CE33" s="56"/>
      <c r="CF33" s="56"/>
      <c r="CG33" s="56"/>
      <c r="CH33" s="56"/>
      <c r="CI33" s="56"/>
    </row>
    <row r="34" spans="1:87" s="40" customFormat="1" ht="29.45" customHeight="1">
      <c r="A34" s="53">
        <v>46183</v>
      </c>
      <c r="B34" s="54" t="s">
        <v>238</v>
      </c>
      <c r="C34" s="54">
        <v>7791</v>
      </c>
      <c r="D34" s="54">
        <v>10644</v>
      </c>
      <c r="E34" s="55">
        <v>300000</v>
      </c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55"/>
      <c r="BJ34" s="55">
        <v>300000</v>
      </c>
      <c r="BK34" s="172"/>
      <c r="BL34" s="55"/>
      <c r="BM34" s="55"/>
      <c r="BN34" s="55"/>
      <c r="BO34" s="55"/>
      <c r="BP34" s="55"/>
      <c r="BQ34" s="55"/>
      <c r="BR34" s="55"/>
      <c r="BS34" s="55"/>
      <c r="BT34" s="55"/>
      <c r="BU34" s="55"/>
      <c r="BV34" s="55"/>
      <c r="BW34" s="55"/>
      <c r="BX34" s="56">
        <f t="shared" si="0"/>
        <v>300000</v>
      </c>
      <c r="BY34" s="55"/>
      <c r="BZ34" s="56"/>
      <c r="CA34" s="56"/>
      <c r="CB34" s="56"/>
      <c r="CC34" s="56"/>
      <c r="CD34" s="56"/>
      <c r="CE34" s="56"/>
      <c r="CF34" s="56"/>
      <c r="CG34" s="56"/>
      <c r="CH34" s="56"/>
      <c r="CI34" s="56"/>
    </row>
    <row r="35" spans="1:87" s="40" customFormat="1" ht="29.45" customHeight="1">
      <c r="A35" s="53">
        <v>46182</v>
      </c>
      <c r="B35" s="54" t="s">
        <v>343</v>
      </c>
      <c r="C35" s="54">
        <v>7748</v>
      </c>
      <c r="D35" s="54">
        <v>9984</v>
      </c>
      <c r="E35" s="55">
        <v>1205000</v>
      </c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>
        <v>500000</v>
      </c>
      <c r="AX35" s="55"/>
      <c r="AY35" s="55"/>
      <c r="AZ35" s="55"/>
      <c r="BA35" s="55"/>
      <c r="BB35" s="55"/>
      <c r="BC35" s="55"/>
      <c r="BD35" s="55"/>
      <c r="BE35" s="55"/>
      <c r="BF35" s="55"/>
      <c r="BG35" s="55"/>
      <c r="BH35" s="55"/>
      <c r="BI35" s="55"/>
      <c r="BJ35" s="55"/>
      <c r="BK35" s="172">
        <f>705000</f>
        <v>705000</v>
      </c>
      <c r="BL35" s="55"/>
      <c r="BM35" s="55"/>
      <c r="BN35" s="55"/>
      <c r="BO35" s="55"/>
      <c r="BP35" s="55"/>
      <c r="BQ35" s="55"/>
      <c r="BR35" s="55"/>
      <c r="BS35" s="55"/>
      <c r="BT35" s="55"/>
      <c r="BU35" s="55"/>
      <c r="BV35" s="55"/>
      <c r="BW35" s="55"/>
      <c r="BX35" s="56">
        <f t="shared" si="0"/>
        <v>1205000</v>
      </c>
      <c r="BY35" s="55"/>
      <c r="BZ35" s="56"/>
      <c r="CA35" s="56"/>
      <c r="CB35" s="56"/>
      <c r="CC35" s="56"/>
      <c r="CD35" s="56"/>
      <c r="CE35" s="56"/>
      <c r="CF35" s="56"/>
      <c r="CG35" s="56"/>
      <c r="CH35" s="56"/>
      <c r="CI35" s="56"/>
    </row>
    <row r="36" spans="1:87" s="40" customFormat="1" ht="29.45" customHeight="1">
      <c r="A36" s="53">
        <v>46182</v>
      </c>
      <c r="B36" s="54" t="s">
        <v>94</v>
      </c>
      <c r="C36" s="54">
        <v>7786</v>
      </c>
      <c r="D36" s="54">
        <v>10642</v>
      </c>
      <c r="E36" s="55">
        <v>12600000</v>
      </c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>
        <v>12600000</v>
      </c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172"/>
      <c r="BL36" s="55"/>
      <c r="BM36" s="55"/>
      <c r="BN36" s="55"/>
      <c r="BO36" s="55"/>
      <c r="BP36" s="55"/>
      <c r="BQ36" s="55"/>
      <c r="BR36" s="55"/>
      <c r="BS36" s="55"/>
      <c r="BT36" s="55"/>
      <c r="BU36" s="55"/>
      <c r="BV36" s="55"/>
      <c r="BW36" s="55"/>
      <c r="BX36" s="56">
        <f t="shared" si="0"/>
        <v>12600000</v>
      </c>
      <c r="BY36" s="55"/>
      <c r="BZ36" s="56"/>
      <c r="CA36" s="56"/>
      <c r="CB36" s="56"/>
      <c r="CC36" s="56"/>
      <c r="CD36" s="56"/>
      <c r="CE36" s="56"/>
      <c r="CF36" s="56"/>
      <c r="CG36" s="56"/>
      <c r="CH36" s="56"/>
      <c r="CI36" s="56"/>
    </row>
    <row r="37" spans="1:87" ht="29.45" customHeight="1">
      <c r="A37" s="204">
        <v>46182</v>
      </c>
      <c r="B37" s="188" t="s">
        <v>344</v>
      </c>
      <c r="C37" s="188">
        <v>7631</v>
      </c>
      <c r="D37" s="188">
        <v>10600</v>
      </c>
      <c r="E37" s="189">
        <v>500000</v>
      </c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R37" s="189"/>
      <c r="S37" s="189"/>
      <c r="T37" s="189"/>
      <c r="U37" s="189"/>
      <c r="V37" s="189"/>
      <c r="W37" s="189"/>
      <c r="X37" s="189"/>
      <c r="Y37" s="189"/>
      <c r="Z37" s="189"/>
      <c r="AA37" s="189"/>
      <c r="AB37" s="189"/>
      <c r="AC37" s="189"/>
      <c r="AD37" s="189"/>
      <c r="AE37" s="189"/>
      <c r="AF37" s="189"/>
      <c r="AG37" s="189"/>
      <c r="AH37" s="189"/>
      <c r="AI37" s="189"/>
      <c r="AJ37" s="189"/>
      <c r="AK37" s="205"/>
      <c r="AL37" s="189"/>
      <c r="AM37" s="189"/>
      <c r="AN37" s="189"/>
      <c r="AO37" s="189"/>
      <c r="AP37" s="189"/>
      <c r="AQ37" s="189"/>
      <c r="AR37" s="189"/>
      <c r="AS37" s="189"/>
      <c r="AT37" s="189"/>
      <c r="AU37" s="189"/>
      <c r="AV37" s="189"/>
      <c r="AW37" s="189"/>
      <c r="AX37" s="189"/>
      <c r="AY37" s="189"/>
      <c r="AZ37" s="189"/>
      <c r="BA37" s="189"/>
      <c r="BB37" s="189"/>
      <c r="BC37" s="189"/>
      <c r="BD37" s="189"/>
      <c r="BE37" s="189"/>
      <c r="BF37" s="189"/>
      <c r="BG37" s="189"/>
      <c r="BH37" s="189"/>
      <c r="BI37" s="189"/>
      <c r="BJ37" s="189"/>
      <c r="BK37" s="206"/>
      <c r="BL37" s="189"/>
      <c r="BM37" s="189"/>
      <c r="BN37" s="189"/>
      <c r="BO37" s="189"/>
      <c r="BP37" s="189"/>
      <c r="BQ37" s="189">
        <v>500000</v>
      </c>
      <c r="BR37" s="189"/>
      <c r="BS37" s="189"/>
      <c r="BT37" s="189"/>
      <c r="BU37" s="189"/>
      <c r="BV37" s="189"/>
      <c r="BW37" s="189"/>
      <c r="BX37" s="56">
        <f t="shared" si="0"/>
        <v>500000</v>
      </c>
      <c r="BY37" s="189"/>
    </row>
    <row r="38" spans="1:87" s="40" customFormat="1" ht="29.45" customHeight="1">
      <c r="A38" s="53">
        <v>46182</v>
      </c>
      <c r="B38" s="54" t="s">
        <v>345</v>
      </c>
      <c r="C38" s="54">
        <v>7746</v>
      </c>
      <c r="D38" s="54">
        <v>9988</v>
      </c>
      <c r="E38" s="55">
        <v>430000</v>
      </c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55"/>
      <c r="BJ38" s="55"/>
      <c r="BK38" s="172"/>
      <c r="BL38" s="55"/>
      <c r="BM38" s="55"/>
      <c r="BN38" s="55"/>
      <c r="BO38" s="55"/>
      <c r="BP38" s="55"/>
      <c r="BQ38" s="55"/>
      <c r="BR38" s="55">
        <v>430000</v>
      </c>
      <c r="BS38" s="55"/>
      <c r="BT38" s="55"/>
      <c r="BU38" s="55"/>
      <c r="BV38" s="55"/>
      <c r="BW38" s="55"/>
      <c r="BX38" s="56">
        <f t="shared" si="0"/>
        <v>430000</v>
      </c>
      <c r="BY38" s="55"/>
      <c r="BZ38" s="56"/>
      <c r="CA38" s="56"/>
      <c r="CB38" s="56"/>
      <c r="CC38" s="56"/>
      <c r="CD38" s="56"/>
      <c r="CE38" s="56"/>
      <c r="CF38" s="56"/>
      <c r="CG38" s="56"/>
      <c r="CH38" s="56"/>
      <c r="CI38" s="56"/>
    </row>
    <row r="39" spans="1:87" s="40" customFormat="1" ht="29.45" customHeight="1">
      <c r="A39" s="53">
        <v>46182</v>
      </c>
      <c r="B39" s="54" t="s">
        <v>206</v>
      </c>
      <c r="C39" s="54">
        <v>7735</v>
      </c>
      <c r="D39" s="54">
        <v>9967</v>
      </c>
      <c r="E39" s="55">
        <v>600000</v>
      </c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55"/>
      <c r="BE39" s="55"/>
      <c r="BF39" s="55">
        <v>600000</v>
      </c>
      <c r="BG39" s="55"/>
      <c r="BH39" s="55"/>
      <c r="BI39" s="55"/>
      <c r="BJ39" s="55"/>
      <c r="BK39" s="172"/>
      <c r="BL39" s="55"/>
      <c r="BM39" s="55"/>
      <c r="BN39" s="55"/>
      <c r="BO39" s="55"/>
      <c r="BP39" s="55"/>
      <c r="BQ39" s="55"/>
      <c r="BR39" s="55"/>
      <c r="BS39" s="55"/>
      <c r="BT39" s="55"/>
      <c r="BU39" s="55"/>
      <c r="BV39" s="55"/>
      <c r="BW39" s="55"/>
      <c r="BX39" s="56">
        <f t="shared" si="0"/>
        <v>600000</v>
      </c>
      <c r="BY39" s="55"/>
      <c r="BZ39" s="56"/>
      <c r="CA39" s="56"/>
      <c r="CB39" s="56"/>
      <c r="CC39" s="56"/>
      <c r="CD39" s="56"/>
      <c r="CE39" s="56"/>
      <c r="CF39" s="56"/>
      <c r="CG39" s="56"/>
      <c r="CH39" s="56"/>
      <c r="CI39" s="56"/>
    </row>
    <row r="40" spans="1:87" s="40" customFormat="1" ht="29.45" customHeight="1">
      <c r="A40" s="53">
        <v>46188</v>
      </c>
      <c r="B40" s="54" t="s">
        <v>346</v>
      </c>
      <c r="C40" s="54">
        <v>7701</v>
      </c>
      <c r="D40" s="54">
        <v>9843</v>
      </c>
      <c r="E40" s="55">
        <v>4500000</v>
      </c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  <c r="BD40" s="55"/>
      <c r="BE40" s="55"/>
      <c r="BF40" s="55"/>
      <c r="BG40" s="55"/>
      <c r="BH40" s="55"/>
      <c r="BI40" s="55"/>
      <c r="BJ40" s="55"/>
      <c r="BK40" s="172"/>
      <c r="BL40" s="55"/>
      <c r="BM40" s="55"/>
      <c r="BN40" s="55"/>
      <c r="BO40" s="55"/>
      <c r="BP40" s="55"/>
      <c r="BQ40" s="55"/>
      <c r="BR40" s="55"/>
      <c r="BS40" s="55">
        <v>4500000</v>
      </c>
      <c r="BT40" s="55"/>
      <c r="BU40" s="55"/>
      <c r="BV40" s="55"/>
      <c r="BW40" s="55"/>
      <c r="BX40" s="56">
        <f t="shared" si="0"/>
        <v>4500000</v>
      </c>
      <c r="BY40" s="55"/>
      <c r="BZ40" s="56"/>
      <c r="CA40" s="56"/>
      <c r="CB40" s="56"/>
      <c r="CC40" s="56"/>
      <c r="CD40" s="56"/>
      <c r="CE40" s="56"/>
      <c r="CF40" s="56"/>
      <c r="CG40" s="56"/>
      <c r="CH40" s="56"/>
      <c r="CI40" s="56"/>
    </row>
    <row r="41" spans="1:87" s="40" customFormat="1" ht="29.45" customHeight="1">
      <c r="A41" s="53">
        <v>46182</v>
      </c>
      <c r="B41" s="54" t="s">
        <v>343</v>
      </c>
      <c r="C41" s="54">
        <v>7739</v>
      </c>
      <c r="D41" s="54">
        <v>9971</v>
      </c>
      <c r="E41" s="55">
        <v>6080000</v>
      </c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  <c r="BD41" s="55"/>
      <c r="BE41" s="55"/>
      <c r="BF41" s="55"/>
      <c r="BG41" s="55"/>
      <c r="BH41" s="55"/>
      <c r="BI41" s="55"/>
      <c r="BJ41" s="55"/>
      <c r="BK41" s="172">
        <f>5360000+200000</f>
        <v>5560000</v>
      </c>
      <c r="BL41" s="55"/>
      <c r="BM41" s="55"/>
      <c r="BN41" s="55"/>
      <c r="BO41" s="55"/>
      <c r="BP41" s="55"/>
      <c r="BQ41" s="55"/>
      <c r="BR41" s="55"/>
      <c r="BS41" s="55"/>
      <c r="BT41" s="55">
        <v>520000</v>
      </c>
      <c r="BU41" s="55"/>
      <c r="BV41" s="55"/>
      <c r="BW41" s="55"/>
      <c r="BX41" s="56">
        <f t="shared" si="0"/>
        <v>6080000</v>
      </c>
      <c r="BY41" s="55"/>
      <c r="BZ41" s="56"/>
      <c r="CA41" s="56"/>
      <c r="CB41" s="56"/>
      <c r="CC41" s="56"/>
      <c r="CD41" s="56"/>
      <c r="CE41" s="56"/>
      <c r="CF41" s="56"/>
      <c r="CG41" s="56"/>
      <c r="CH41" s="56"/>
      <c r="CI41" s="56"/>
    </row>
    <row r="42" spans="1:87" s="40" customFormat="1" ht="29.45" customHeight="1">
      <c r="A42" s="53">
        <v>46182</v>
      </c>
      <c r="B42" s="54" t="s">
        <v>343</v>
      </c>
      <c r="C42" s="54">
        <v>7777</v>
      </c>
      <c r="D42" s="50" t="s">
        <v>347</v>
      </c>
      <c r="E42" s="55">
        <v>7718000</v>
      </c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>
        <f>1800000+700000</f>
        <v>2500000</v>
      </c>
      <c r="AY42" s="55">
        <v>1000000</v>
      </c>
      <c r="AZ42" s="55">
        <v>3000000</v>
      </c>
      <c r="BA42" s="55"/>
      <c r="BB42" s="55"/>
      <c r="BC42" s="55"/>
      <c r="BD42" s="55"/>
      <c r="BE42" s="55"/>
      <c r="BF42" s="55"/>
      <c r="BG42" s="55"/>
      <c r="BH42" s="55"/>
      <c r="BI42" s="55"/>
      <c r="BJ42" s="55">
        <v>184000</v>
      </c>
      <c r="BK42" s="172"/>
      <c r="BL42" s="55">
        <v>250000</v>
      </c>
      <c r="BM42" s="55"/>
      <c r="BN42" s="55"/>
      <c r="BO42" s="55">
        <f>234000+400000</f>
        <v>634000</v>
      </c>
      <c r="BP42" s="55"/>
      <c r="BQ42" s="55"/>
      <c r="BR42" s="55"/>
      <c r="BS42" s="55"/>
      <c r="BT42" s="55"/>
      <c r="BU42" s="55"/>
      <c r="BV42" s="55"/>
      <c r="BW42" s="55"/>
      <c r="BX42" s="56">
        <f t="shared" si="0"/>
        <v>7568000</v>
      </c>
      <c r="BY42" s="55"/>
      <c r="BZ42" s="56"/>
      <c r="CA42" s="56"/>
      <c r="CB42" s="56"/>
      <c r="CC42" s="56"/>
      <c r="CD42" s="56"/>
      <c r="CE42" s="56"/>
      <c r="CF42" s="56"/>
      <c r="CG42" s="56"/>
      <c r="CH42" s="56"/>
      <c r="CI42" s="56"/>
    </row>
    <row r="43" spans="1:87" s="40" customFormat="1" ht="29.45" customHeight="1">
      <c r="A43" s="53">
        <v>46182</v>
      </c>
      <c r="B43" s="54" t="s">
        <v>74</v>
      </c>
      <c r="C43" s="54">
        <v>7818</v>
      </c>
      <c r="D43" s="54">
        <v>10695</v>
      </c>
      <c r="E43" s="55">
        <v>650000</v>
      </c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>
        <v>650000</v>
      </c>
      <c r="AY43" s="55"/>
      <c r="AZ43" s="55">
        <v>0</v>
      </c>
      <c r="BA43" s="55"/>
      <c r="BB43" s="55"/>
      <c r="BC43" s="55"/>
      <c r="BD43" s="55"/>
      <c r="BE43" s="55"/>
      <c r="BF43" s="55"/>
      <c r="BG43" s="55"/>
      <c r="BH43" s="55"/>
      <c r="BI43" s="55"/>
      <c r="BJ43" s="55"/>
      <c r="BK43" s="172"/>
      <c r="BL43" s="55"/>
      <c r="BM43" s="55"/>
      <c r="BN43" s="55"/>
      <c r="BO43" s="55"/>
      <c r="BP43" s="55"/>
      <c r="BQ43" s="55"/>
      <c r="BR43" s="55"/>
      <c r="BS43" s="55"/>
      <c r="BT43" s="55"/>
      <c r="BU43" s="55"/>
      <c r="BV43" s="55"/>
      <c r="BW43" s="55"/>
      <c r="BX43" s="56">
        <f t="shared" si="0"/>
        <v>650000</v>
      </c>
      <c r="BY43" s="55"/>
      <c r="BZ43" s="56"/>
      <c r="CA43" s="56"/>
      <c r="CB43" s="56"/>
      <c r="CC43" s="56"/>
      <c r="CD43" s="56"/>
      <c r="CE43" s="56"/>
      <c r="CF43" s="56"/>
      <c r="CG43" s="56"/>
      <c r="CH43" s="56"/>
      <c r="CI43" s="56"/>
    </row>
    <row r="44" spans="1:87" s="40" customFormat="1" ht="29.45" customHeight="1">
      <c r="A44" s="53">
        <v>46190</v>
      </c>
      <c r="B44" s="54" t="s">
        <v>343</v>
      </c>
      <c r="C44" s="54">
        <v>7799</v>
      </c>
      <c r="D44" s="54">
        <v>10694</v>
      </c>
      <c r="E44" s="55">
        <v>1265000</v>
      </c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  <c r="BD44" s="55"/>
      <c r="BE44" s="55"/>
      <c r="BF44" s="55"/>
      <c r="BG44" s="55"/>
      <c r="BH44" s="55"/>
      <c r="BI44" s="55"/>
      <c r="BJ44" s="55"/>
      <c r="BK44" s="172">
        <f>180000+100000+200000+135000+150000</f>
        <v>765000</v>
      </c>
      <c r="BL44" s="55"/>
      <c r="BM44" s="55"/>
      <c r="BN44" s="55"/>
      <c r="BO44" s="55"/>
      <c r="BP44" s="55"/>
      <c r="BQ44" s="55">
        <v>500000</v>
      </c>
      <c r="BR44" s="55"/>
      <c r="BS44" s="55"/>
      <c r="BT44" s="55"/>
      <c r="BU44" s="55"/>
      <c r="BV44" s="55"/>
      <c r="BW44" s="55"/>
      <c r="BX44" s="56">
        <f t="shared" si="0"/>
        <v>1265000</v>
      </c>
      <c r="BY44" s="55"/>
      <c r="BZ44" s="56"/>
      <c r="CA44" s="56"/>
      <c r="CB44" s="56"/>
      <c r="CC44" s="56"/>
      <c r="CD44" s="56"/>
      <c r="CE44" s="56"/>
      <c r="CF44" s="56"/>
      <c r="CG44" s="56"/>
      <c r="CH44" s="56"/>
      <c r="CI44" s="56"/>
    </row>
    <row r="45" spans="1:87" s="40" customFormat="1" ht="29.45" customHeight="1">
      <c r="A45" s="53">
        <v>46182</v>
      </c>
      <c r="B45" s="54" t="s">
        <v>348</v>
      </c>
      <c r="C45" s="54">
        <v>7817</v>
      </c>
      <c r="D45" s="54">
        <v>10692</v>
      </c>
      <c r="E45" s="55">
        <v>300000</v>
      </c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>
        <v>300000</v>
      </c>
      <c r="AY45" s="55"/>
      <c r="AZ45" s="55"/>
      <c r="BA45" s="55"/>
      <c r="BB45" s="55"/>
      <c r="BC45" s="55"/>
      <c r="BD45" s="55"/>
      <c r="BE45" s="55"/>
      <c r="BF45" s="55"/>
      <c r="BG45" s="55"/>
      <c r="BH45" s="55"/>
      <c r="BI45" s="55"/>
      <c r="BJ45" s="55"/>
      <c r="BK45" s="172"/>
      <c r="BL45" s="55"/>
      <c r="BM45" s="55"/>
      <c r="BN45" s="55"/>
      <c r="BO45" s="55"/>
      <c r="BP45" s="55"/>
      <c r="BQ45" s="55"/>
      <c r="BR45" s="55"/>
      <c r="BS45" s="55"/>
      <c r="BT45" s="55"/>
      <c r="BU45" s="55"/>
      <c r="BV45" s="55"/>
      <c r="BW45" s="55"/>
      <c r="BX45" s="56">
        <f t="shared" si="0"/>
        <v>300000</v>
      </c>
      <c r="BY45" s="55"/>
      <c r="BZ45" s="56"/>
      <c r="CA45" s="56"/>
      <c r="CB45" s="56"/>
      <c r="CC45" s="56"/>
      <c r="CD45" s="56"/>
      <c r="CE45" s="56"/>
      <c r="CF45" s="56"/>
      <c r="CG45" s="56"/>
      <c r="CH45" s="56"/>
      <c r="CI45" s="56"/>
    </row>
    <row r="46" spans="1:87" s="40" customFormat="1" ht="29.45" customHeight="1">
      <c r="A46" s="53">
        <v>46186</v>
      </c>
      <c r="B46" s="54" t="s">
        <v>96</v>
      </c>
      <c r="C46" s="54">
        <v>7819</v>
      </c>
      <c r="D46" s="54">
        <v>10711</v>
      </c>
      <c r="E46" s="55">
        <v>1820000</v>
      </c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  <c r="BD46" s="55"/>
      <c r="BE46" s="55"/>
      <c r="BF46" s="55"/>
      <c r="BG46" s="55"/>
      <c r="BH46" s="55"/>
      <c r="BI46" s="55"/>
      <c r="BJ46" s="55"/>
      <c r="BK46" s="172">
        <v>1820000</v>
      </c>
      <c r="BL46" s="55"/>
      <c r="BM46" s="55"/>
      <c r="BN46" s="55"/>
      <c r="BO46" s="55"/>
      <c r="BP46" s="55"/>
      <c r="BQ46" s="55"/>
      <c r="BR46" s="55"/>
      <c r="BS46" s="55"/>
      <c r="BT46" s="55"/>
      <c r="BU46" s="55"/>
      <c r="BV46" s="55"/>
      <c r="BW46" s="55"/>
      <c r="BX46" s="56">
        <f t="shared" si="0"/>
        <v>1820000</v>
      </c>
      <c r="BY46" s="55"/>
      <c r="BZ46" s="56"/>
      <c r="CA46" s="56"/>
      <c r="CB46" s="56"/>
      <c r="CC46" s="56"/>
      <c r="CD46" s="56"/>
      <c r="CE46" s="56"/>
      <c r="CF46" s="56"/>
      <c r="CG46" s="56"/>
      <c r="CH46" s="56"/>
      <c r="CI46" s="56"/>
    </row>
    <row r="47" spans="1:87" s="40" customFormat="1" ht="29.45" customHeight="1">
      <c r="A47" s="53">
        <v>46186</v>
      </c>
      <c r="B47" s="54" t="s">
        <v>96</v>
      </c>
      <c r="C47" s="54">
        <v>7790</v>
      </c>
      <c r="D47" s="54">
        <v>10645</v>
      </c>
      <c r="E47" s="55">
        <v>250000</v>
      </c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>
        <v>250000</v>
      </c>
      <c r="AV47" s="55"/>
      <c r="AW47" s="55"/>
      <c r="AX47" s="55"/>
      <c r="AY47" s="55"/>
      <c r="AZ47" s="55"/>
      <c r="BA47" s="55"/>
      <c r="BB47" s="55"/>
      <c r="BC47" s="55"/>
      <c r="BD47" s="55"/>
      <c r="BE47" s="55"/>
      <c r="BF47" s="55"/>
      <c r="BG47" s="55"/>
      <c r="BH47" s="55"/>
      <c r="BI47" s="55"/>
      <c r="BJ47" s="55"/>
      <c r="BK47" s="172"/>
      <c r="BL47" s="55"/>
      <c r="BM47" s="55"/>
      <c r="BN47" s="55"/>
      <c r="BO47" s="55"/>
      <c r="BP47" s="55"/>
      <c r="BQ47" s="55"/>
      <c r="BR47" s="55"/>
      <c r="BS47" s="55"/>
      <c r="BT47" s="55"/>
      <c r="BU47" s="55"/>
      <c r="BV47" s="55"/>
      <c r="BW47" s="55"/>
      <c r="BX47" s="56">
        <f t="shared" si="0"/>
        <v>250000</v>
      </c>
      <c r="BY47" s="55"/>
      <c r="BZ47" s="56"/>
      <c r="CA47" s="56"/>
      <c r="CB47" s="56"/>
      <c r="CC47" s="56"/>
      <c r="CD47" s="56"/>
      <c r="CE47" s="56"/>
      <c r="CF47" s="56"/>
      <c r="CG47" s="56"/>
      <c r="CH47" s="56"/>
      <c r="CI47" s="56"/>
    </row>
    <row r="48" spans="1:87" s="40" customFormat="1" ht="29.45" customHeight="1">
      <c r="A48" s="53">
        <v>46182</v>
      </c>
      <c r="B48" s="54" t="s">
        <v>349</v>
      </c>
      <c r="C48" s="54">
        <v>7815</v>
      </c>
      <c r="D48" s="54">
        <v>10691</v>
      </c>
      <c r="E48" s="55">
        <v>540000</v>
      </c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  <c r="BD48" s="55"/>
      <c r="BE48" s="55"/>
      <c r="BF48" s="55"/>
      <c r="BG48" s="55"/>
      <c r="BH48" s="55"/>
      <c r="BI48" s="55"/>
      <c r="BJ48" s="55"/>
      <c r="BK48" s="172">
        <v>540000</v>
      </c>
      <c r="BL48" s="55"/>
      <c r="BM48" s="55"/>
      <c r="BN48" s="55"/>
      <c r="BO48" s="55"/>
      <c r="BP48" s="55"/>
      <c r="BQ48" s="55"/>
      <c r="BR48" s="55"/>
      <c r="BS48" s="55"/>
      <c r="BT48" s="55"/>
      <c r="BU48" s="55"/>
      <c r="BV48" s="55"/>
      <c r="BW48" s="55"/>
      <c r="BX48" s="56">
        <f t="shared" si="0"/>
        <v>540000</v>
      </c>
      <c r="BY48" s="55"/>
      <c r="BZ48" s="56"/>
      <c r="CA48" s="56"/>
      <c r="CB48" s="56"/>
      <c r="CC48" s="56"/>
      <c r="CD48" s="56"/>
      <c r="CE48" s="56"/>
      <c r="CF48" s="56"/>
      <c r="CG48" s="56"/>
      <c r="CH48" s="56"/>
      <c r="CI48" s="56"/>
    </row>
    <row r="49" spans="1:87" s="40" customFormat="1" ht="29.45" customHeight="1">
      <c r="A49" s="53">
        <v>46182</v>
      </c>
      <c r="B49" s="54" t="s">
        <v>25</v>
      </c>
      <c r="C49" s="54">
        <v>7833</v>
      </c>
      <c r="D49" s="54">
        <v>10724</v>
      </c>
      <c r="E49" s="55">
        <v>1866000</v>
      </c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>
        <v>1866000</v>
      </c>
      <c r="AU49" s="55"/>
      <c r="AV49" s="55"/>
      <c r="AW49" s="55"/>
      <c r="AX49" s="55"/>
      <c r="AY49" s="55"/>
      <c r="AZ49" s="55"/>
      <c r="BA49" s="55"/>
      <c r="BB49" s="55"/>
      <c r="BC49" s="55"/>
      <c r="BD49" s="55"/>
      <c r="BE49" s="55"/>
      <c r="BF49" s="55"/>
      <c r="BG49" s="55"/>
      <c r="BH49" s="55"/>
      <c r="BI49" s="55"/>
      <c r="BJ49" s="55"/>
      <c r="BK49" s="172"/>
      <c r="BL49" s="55"/>
      <c r="BM49" s="55"/>
      <c r="BN49" s="55"/>
      <c r="BO49" s="55"/>
      <c r="BP49" s="55"/>
      <c r="BQ49" s="55"/>
      <c r="BR49" s="55"/>
      <c r="BS49" s="55"/>
      <c r="BT49" s="55"/>
      <c r="BU49" s="55"/>
      <c r="BV49" s="55"/>
      <c r="BW49" s="55"/>
      <c r="BX49" s="56">
        <f t="shared" si="0"/>
        <v>1866000</v>
      </c>
      <c r="BY49" s="55"/>
      <c r="BZ49" s="56"/>
      <c r="CA49" s="56"/>
      <c r="CB49" s="56"/>
      <c r="CC49" s="56"/>
      <c r="CD49" s="56"/>
      <c r="CE49" s="56"/>
      <c r="CF49" s="56"/>
      <c r="CG49" s="56"/>
      <c r="CH49" s="56"/>
      <c r="CI49" s="56"/>
    </row>
    <row r="50" spans="1:87" s="40" customFormat="1" ht="29.45" customHeight="1">
      <c r="A50" s="53">
        <v>46182</v>
      </c>
      <c r="B50" s="54" t="s">
        <v>92</v>
      </c>
      <c r="C50" s="54">
        <v>7825</v>
      </c>
      <c r="D50" s="54">
        <v>10707</v>
      </c>
      <c r="E50" s="55">
        <v>214000</v>
      </c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  <c r="BD50" s="55"/>
      <c r="BE50" s="55"/>
      <c r="BF50" s="55"/>
      <c r="BG50" s="55"/>
      <c r="BH50" s="55"/>
      <c r="BI50" s="55"/>
      <c r="BJ50" s="55"/>
      <c r="BK50" s="172">
        <v>214000</v>
      </c>
      <c r="BL50" s="55"/>
      <c r="BM50" s="55"/>
      <c r="BN50" s="55"/>
      <c r="BO50" s="55"/>
      <c r="BP50" s="55"/>
      <c r="BQ50" s="55"/>
      <c r="BR50" s="55"/>
      <c r="BS50" s="55"/>
      <c r="BT50" s="55"/>
      <c r="BU50" s="55"/>
      <c r="BV50" s="55"/>
      <c r="BW50" s="55"/>
      <c r="BX50" s="56">
        <f t="shared" si="0"/>
        <v>214000</v>
      </c>
      <c r="BY50" s="55"/>
      <c r="BZ50" s="56"/>
      <c r="CA50" s="56"/>
      <c r="CB50" s="56"/>
      <c r="CC50" s="56"/>
      <c r="CD50" s="56"/>
      <c r="CE50" s="56"/>
      <c r="CF50" s="56"/>
      <c r="CG50" s="56"/>
      <c r="CH50" s="56"/>
      <c r="CI50" s="56"/>
    </row>
    <row r="51" spans="1:87" s="40" customFormat="1" ht="29.45" customHeight="1">
      <c r="A51" s="53">
        <v>46182</v>
      </c>
      <c r="B51" s="54" t="s">
        <v>175</v>
      </c>
      <c r="C51" s="54">
        <v>7816</v>
      </c>
      <c r="D51" s="54">
        <v>10716</v>
      </c>
      <c r="E51" s="55">
        <v>590000</v>
      </c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>
        <v>590000</v>
      </c>
      <c r="AY51" s="55"/>
      <c r="AZ51" s="55"/>
      <c r="BA51" s="55"/>
      <c r="BB51" s="55"/>
      <c r="BC51" s="55"/>
      <c r="BD51" s="55"/>
      <c r="BE51" s="55"/>
      <c r="BF51" s="55"/>
      <c r="BG51" s="55"/>
      <c r="BH51" s="55"/>
      <c r="BI51" s="55"/>
      <c r="BJ51" s="55"/>
      <c r="BK51" s="172"/>
      <c r="BL51" s="55"/>
      <c r="BM51" s="55"/>
      <c r="BN51" s="55"/>
      <c r="BO51" s="55"/>
      <c r="BP51" s="55"/>
      <c r="BQ51" s="55"/>
      <c r="BR51" s="55"/>
      <c r="BS51" s="55"/>
      <c r="BT51" s="55"/>
      <c r="BU51" s="55"/>
      <c r="BV51" s="55"/>
      <c r="BW51" s="55"/>
      <c r="BX51" s="56">
        <f t="shared" si="0"/>
        <v>590000</v>
      </c>
      <c r="BY51" s="55"/>
      <c r="BZ51" s="56"/>
      <c r="CA51" s="56"/>
      <c r="CB51" s="56"/>
      <c r="CC51" s="56"/>
      <c r="CD51" s="56"/>
      <c r="CE51" s="56"/>
      <c r="CF51" s="56"/>
      <c r="CG51" s="56"/>
      <c r="CH51" s="56"/>
      <c r="CI51" s="56"/>
    </row>
    <row r="52" spans="1:87" s="40" customFormat="1" ht="29.45" customHeight="1">
      <c r="A52" s="53">
        <v>46182</v>
      </c>
      <c r="B52" s="54" t="s">
        <v>350</v>
      </c>
      <c r="C52" s="54">
        <v>7826</v>
      </c>
      <c r="D52" s="54">
        <v>10712</v>
      </c>
      <c r="E52" s="55">
        <v>1000000</v>
      </c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>
        <v>1000000</v>
      </c>
      <c r="AT52" s="55"/>
      <c r="AU52" s="55"/>
      <c r="AV52" s="55"/>
      <c r="AW52" s="55"/>
      <c r="AX52" s="55"/>
      <c r="AY52" s="55"/>
      <c r="AZ52" s="55"/>
      <c r="BA52" s="55"/>
      <c r="BB52" s="55"/>
      <c r="BC52" s="55"/>
      <c r="BD52" s="55"/>
      <c r="BE52" s="55"/>
      <c r="BF52" s="55"/>
      <c r="BG52" s="55"/>
      <c r="BH52" s="55"/>
      <c r="BI52" s="55"/>
      <c r="BJ52" s="55"/>
      <c r="BK52" s="172"/>
      <c r="BL52" s="55"/>
      <c r="BM52" s="55"/>
      <c r="BN52" s="55"/>
      <c r="BO52" s="55"/>
      <c r="BP52" s="55"/>
      <c r="BQ52" s="55"/>
      <c r="BR52" s="55"/>
      <c r="BS52" s="55"/>
      <c r="BT52" s="55"/>
      <c r="BU52" s="55"/>
      <c r="BV52" s="55"/>
      <c r="BW52" s="55"/>
      <c r="BX52" s="56">
        <f t="shared" si="0"/>
        <v>1000000</v>
      </c>
      <c r="BY52" s="55"/>
      <c r="BZ52" s="56"/>
      <c r="CA52" s="56"/>
      <c r="CB52" s="56"/>
      <c r="CC52" s="56"/>
      <c r="CD52" s="56"/>
      <c r="CE52" s="56"/>
      <c r="CF52" s="56"/>
      <c r="CG52" s="56"/>
      <c r="CH52" s="56"/>
      <c r="CI52" s="56"/>
    </row>
    <row r="53" spans="1:87" s="40" customFormat="1" ht="29.45" customHeight="1">
      <c r="A53" s="53">
        <v>46182</v>
      </c>
      <c r="B53" s="50" t="s">
        <v>351</v>
      </c>
      <c r="C53" s="54">
        <v>7828</v>
      </c>
      <c r="D53" s="54">
        <v>10698</v>
      </c>
      <c r="E53" s="55">
        <v>500000</v>
      </c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>
        <v>500000</v>
      </c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172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  <c r="BW53" s="55"/>
      <c r="BX53" s="56">
        <f t="shared" si="0"/>
        <v>500000</v>
      </c>
      <c r="BY53" s="55"/>
      <c r="BZ53" s="56"/>
      <c r="CA53" s="56"/>
      <c r="CB53" s="56"/>
      <c r="CC53" s="56"/>
      <c r="CD53" s="56"/>
      <c r="CE53" s="56"/>
      <c r="CF53" s="56"/>
      <c r="CG53" s="56"/>
      <c r="CH53" s="56"/>
      <c r="CI53" s="56"/>
    </row>
    <row r="54" spans="1:87" s="40" customFormat="1" ht="29.45" customHeight="1">
      <c r="A54" s="53">
        <v>46182</v>
      </c>
      <c r="B54" s="54" t="s">
        <v>105</v>
      </c>
      <c r="C54" s="54">
        <v>7824</v>
      </c>
      <c r="D54" s="54">
        <v>10729</v>
      </c>
      <c r="E54" s="55">
        <v>1426000</v>
      </c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  <c r="BB54" s="55"/>
      <c r="BC54" s="55"/>
      <c r="BD54" s="55"/>
      <c r="BE54" s="55"/>
      <c r="BF54" s="55"/>
      <c r="BG54" s="55"/>
      <c r="BH54" s="55"/>
      <c r="BI54" s="55"/>
      <c r="BJ54" s="55"/>
      <c r="BK54" s="172"/>
      <c r="BL54" s="55"/>
      <c r="BM54" s="55"/>
      <c r="BN54" s="55"/>
      <c r="BO54" s="55"/>
      <c r="BP54" s="55"/>
      <c r="BQ54" s="55"/>
      <c r="BR54" s="55"/>
      <c r="BS54" s="55"/>
      <c r="BT54" s="55"/>
      <c r="BU54" s="55">
        <v>1426000</v>
      </c>
      <c r="BV54" s="55"/>
      <c r="BW54" s="55"/>
      <c r="BX54" s="56">
        <f t="shared" si="0"/>
        <v>1426000</v>
      </c>
      <c r="BY54" s="55"/>
      <c r="BZ54" s="56"/>
      <c r="CA54" s="56"/>
      <c r="CB54" s="56"/>
      <c r="CC54" s="56"/>
      <c r="CD54" s="56"/>
      <c r="CE54" s="56"/>
      <c r="CF54" s="56"/>
      <c r="CG54" s="56"/>
      <c r="CH54" s="56"/>
      <c r="CI54" s="56"/>
    </row>
    <row r="55" spans="1:87" s="40" customFormat="1" ht="29.45" customHeight="1">
      <c r="A55" s="53">
        <v>46182</v>
      </c>
      <c r="B55" s="54" t="s">
        <v>292</v>
      </c>
      <c r="C55" s="54">
        <v>7827</v>
      </c>
      <c r="D55" s="54">
        <v>10709</v>
      </c>
      <c r="E55" s="55">
        <v>345000</v>
      </c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5"/>
      <c r="BE55" s="55"/>
      <c r="BF55" s="55"/>
      <c r="BG55" s="55"/>
      <c r="BH55" s="55"/>
      <c r="BI55" s="55"/>
      <c r="BJ55" s="55">
        <v>345000</v>
      </c>
      <c r="BK55" s="172"/>
      <c r="BL55" s="55"/>
      <c r="BM55" s="55"/>
      <c r="BN55" s="55"/>
      <c r="BO55" s="55"/>
      <c r="BP55" s="55"/>
      <c r="BQ55" s="55"/>
      <c r="BR55" s="55"/>
      <c r="BS55" s="55"/>
      <c r="BT55" s="55"/>
      <c r="BU55" s="55"/>
      <c r="BV55" s="55"/>
      <c r="BW55" s="55"/>
      <c r="BX55" s="56">
        <f t="shared" si="0"/>
        <v>345000</v>
      </c>
      <c r="BY55" s="55"/>
      <c r="BZ55" s="56"/>
      <c r="CA55" s="56"/>
      <c r="CB55" s="56"/>
      <c r="CC55" s="56"/>
      <c r="CD55" s="56"/>
      <c r="CE55" s="56"/>
      <c r="CF55" s="56"/>
      <c r="CG55" s="56"/>
      <c r="CH55" s="56"/>
      <c r="CI55" s="56"/>
    </row>
    <row r="56" spans="1:87" s="40" customFormat="1" ht="29.45" customHeight="1">
      <c r="A56" s="53">
        <v>46182</v>
      </c>
      <c r="B56" s="50" t="s">
        <v>207</v>
      </c>
      <c r="C56" s="54">
        <v>7785</v>
      </c>
      <c r="D56" s="54">
        <v>10639</v>
      </c>
      <c r="E56" s="55">
        <v>2400000</v>
      </c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>
        <v>2400000</v>
      </c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  <c r="BD56" s="55"/>
      <c r="BE56" s="55"/>
      <c r="BF56" s="55"/>
      <c r="BG56" s="55"/>
      <c r="BH56" s="55"/>
      <c r="BI56" s="55"/>
      <c r="BJ56" s="55"/>
      <c r="BK56" s="172"/>
      <c r="BL56" s="55"/>
      <c r="BM56" s="55"/>
      <c r="BN56" s="55"/>
      <c r="BO56" s="55"/>
      <c r="BP56" s="55"/>
      <c r="BQ56" s="55"/>
      <c r="BR56" s="55"/>
      <c r="BS56" s="55"/>
      <c r="BT56" s="55"/>
      <c r="BU56" s="55"/>
      <c r="BV56" s="55"/>
      <c r="BW56" s="55"/>
      <c r="BX56" s="56">
        <f t="shared" si="0"/>
        <v>2400000</v>
      </c>
      <c r="BY56" s="55"/>
      <c r="BZ56" s="56"/>
      <c r="CA56" s="56"/>
      <c r="CB56" s="56"/>
      <c r="CC56" s="56"/>
      <c r="CD56" s="56"/>
      <c r="CE56" s="56"/>
      <c r="CF56" s="56"/>
      <c r="CG56" s="56"/>
      <c r="CH56" s="56"/>
      <c r="CI56" s="56"/>
    </row>
    <row r="57" spans="1:87" s="40" customFormat="1" ht="29.45" customHeight="1">
      <c r="A57" s="53">
        <v>46189</v>
      </c>
      <c r="B57" s="50" t="s">
        <v>341</v>
      </c>
      <c r="C57" s="54">
        <v>7829</v>
      </c>
      <c r="D57" s="54"/>
      <c r="E57" s="55">
        <v>210000</v>
      </c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  <c r="BB57" s="55"/>
      <c r="BC57" s="55"/>
      <c r="BD57" s="55"/>
      <c r="BE57" s="55"/>
      <c r="BF57" s="55"/>
      <c r="BG57" s="55"/>
      <c r="BH57" s="55"/>
      <c r="BI57" s="55"/>
      <c r="BJ57" s="55"/>
      <c r="BK57" s="172">
        <v>210000</v>
      </c>
      <c r="BL57" s="55"/>
      <c r="BM57" s="55"/>
      <c r="BN57" s="55"/>
      <c r="BO57" s="55"/>
      <c r="BP57" s="55"/>
      <c r="BQ57" s="55"/>
      <c r="BR57" s="55"/>
      <c r="BS57" s="55"/>
      <c r="BT57" s="55"/>
      <c r="BU57" s="55"/>
      <c r="BV57" s="55"/>
      <c r="BW57" s="55"/>
      <c r="BX57" s="56">
        <f t="shared" si="0"/>
        <v>210000</v>
      </c>
      <c r="BY57" s="55"/>
      <c r="BZ57" s="56"/>
      <c r="CA57" s="56"/>
      <c r="CB57" s="56"/>
      <c r="CC57" s="56"/>
      <c r="CD57" s="56"/>
      <c r="CE57" s="56"/>
      <c r="CF57" s="56"/>
      <c r="CG57" s="56"/>
      <c r="CH57" s="56"/>
      <c r="CI57" s="56"/>
    </row>
    <row r="58" spans="1:87" s="40" customFormat="1" ht="29.45" customHeight="1">
      <c r="A58" s="53">
        <v>46193</v>
      </c>
      <c r="B58" s="54" t="s">
        <v>352</v>
      </c>
      <c r="C58" s="54">
        <v>7848</v>
      </c>
      <c r="D58" s="54">
        <v>10753</v>
      </c>
      <c r="E58" s="55">
        <v>3000000</v>
      </c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>
        <v>3000000</v>
      </c>
      <c r="AR58" s="55"/>
      <c r="AS58" s="55"/>
      <c r="AT58" s="55"/>
      <c r="AU58" s="55"/>
      <c r="AV58" s="55"/>
      <c r="AW58" s="55"/>
      <c r="AX58" s="55"/>
      <c r="AY58" s="55"/>
      <c r="AZ58" s="55"/>
      <c r="BA58" s="55"/>
      <c r="BB58" s="55"/>
      <c r="BC58" s="55"/>
      <c r="BD58" s="55"/>
      <c r="BE58" s="55"/>
      <c r="BF58" s="55"/>
      <c r="BG58" s="55"/>
      <c r="BH58" s="55"/>
      <c r="BI58" s="55"/>
      <c r="BJ58" s="55"/>
      <c r="BK58" s="172"/>
      <c r="BL58" s="55"/>
      <c r="BM58" s="55"/>
      <c r="BN58" s="55"/>
      <c r="BO58" s="55"/>
      <c r="BP58" s="55"/>
      <c r="BQ58" s="55"/>
      <c r="BR58" s="55"/>
      <c r="BS58" s="55"/>
      <c r="BT58" s="55"/>
      <c r="BU58" s="55"/>
      <c r="BV58" s="55"/>
      <c r="BW58" s="55"/>
      <c r="BX58" s="56">
        <f t="shared" si="0"/>
        <v>3000000</v>
      </c>
      <c r="BY58" s="55"/>
      <c r="BZ58" s="56"/>
      <c r="CA58" s="56"/>
      <c r="CB58" s="56"/>
      <c r="CC58" s="56"/>
      <c r="CD58" s="56"/>
      <c r="CE58" s="56"/>
      <c r="CF58" s="56"/>
      <c r="CG58" s="56"/>
      <c r="CH58" s="56"/>
      <c r="CI58" s="56"/>
    </row>
    <row r="59" spans="1:87" s="40" customFormat="1" ht="29.45" customHeight="1">
      <c r="A59" s="53">
        <v>46193</v>
      </c>
      <c r="B59" s="54" t="s">
        <v>99</v>
      </c>
      <c r="C59" s="54">
        <v>7846</v>
      </c>
      <c r="D59" s="54">
        <v>9679</v>
      </c>
      <c r="E59" s="55">
        <v>2930000</v>
      </c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>
        <v>2600000</v>
      </c>
      <c r="AY59" s="55"/>
      <c r="AZ59" s="55"/>
      <c r="BA59" s="55"/>
      <c r="BB59" s="55"/>
      <c r="BC59" s="55"/>
      <c r="BD59" s="55"/>
      <c r="BE59" s="55"/>
      <c r="BF59" s="55"/>
      <c r="BG59" s="55"/>
      <c r="BH59" s="55"/>
      <c r="BI59" s="55"/>
      <c r="BJ59" s="55"/>
      <c r="BK59" s="172">
        <f>150000+180000</f>
        <v>330000</v>
      </c>
      <c r="BL59" s="55"/>
      <c r="BM59" s="55"/>
      <c r="BN59" s="55"/>
      <c r="BO59" s="55"/>
      <c r="BP59" s="55"/>
      <c r="BQ59" s="55"/>
      <c r="BR59" s="55"/>
      <c r="BS59" s="55"/>
      <c r="BT59" s="55"/>
      <c r="BU59" s="55"/>
      <c r="BV59" s="55"/>
      <c r="BW59" s="55"/>
      <c r="BX59" s="56">
        <f t="shared" si="0"/>
        <v>2930000</v>
      </c>
      <c r="BY59" s="55"/>
      <c r="BZ59" s="56"/>
      <c r="CA59" s="56"/>
      <c r="CB59" s="56"/>
      <c r="CC59" s="56"/>
      <c r="CD59" s="56"/>
      <c r="CE59" s="56"/>
      <c r="CF59" s="56"/>
      <c r="CG59" s="56"/>
      <c r="CH59" s="56"/>
      <c r="CI59" s="56"/>
    </row>
    <row r="60" spans="1:87" s="40" customFormat="1" ht="29.45" customHeight="1">
      <c r="A60" s="53">
        <v>46193</v>
      </c>
      <c r="B60" s="54" t="s">
        <v>74</v>
      </c>
      <c r="C60" s="54">
        <v>7847</v>
      </c>
      <c r="D60" s="50" t="s">
        <v>353</v>
      </c>
      <c r="E60" s="55">
        <v>2527000</v>
      </c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>
        <v>650000</v>
      </c>
      <c r="AY60" s="55"/>
      <c r="AZ60" s="55"/>
      <c r="BA60" s="55"/>
      <c r="BB60" s="55"/>
      <c r="BC60" s="55"/>
      <c r="BD60" s="55"/>
      <c r="BE60" s="55"/>
      <c r="BF60" s="55"/>
      <c r="BG60" s="55"/>
      <c r="BH60" s="55"/>
      <c r="BI60" s="55"/>
      <c r="BJ60" s="55"/>
      <c r="BK60" s="172"/>
      <c r="BL60" s="55"/>
      <c r="BM60" s="55"/>
      <c r="BN60" s="55"/>
      <c r="BO60" s="55"/>
      <c r="BP60" s="55"/>
      <c r="BQ60" s="55"/>
      <c r="BR60" s="55">
        <v>1877000</v>
      </c>
      <c r="BS60" s="55"/>
      <c r="BT60" s="55"/>
      <c r="BU60" s="55"/>
      <c r="BV60" s="55"/>
      <c r="BW60" s="55"/>
      <c r="BX60" s="56">
        <f t="shared" si="0"/>
        <v>2527000</v>
      </c>
      <c r="BY60" s="55"/>
      <c r="BZ60" s="56"/>
      <c r="CA60" s="56"/>
      <c r="CB60" s="56"/>
      <c r="CC60" s="56"/>
      <c r="CD60" s="56"/>
      <c r="CE60" s="56"/>
      <c r="CF60" s="56"/>
      <c r="CG60" s="56"/>
      <c r="CH60" s="56"/>
      <c r="CI60" s="56"/>
    </row>
    <row r="61" spans="1:87" s="40" customFormat="1" ht="29.45" customHeight="1">
      <c r="A61" s="53">
        <v>46193</v>
      </c>
      <c r="B61" s="54" t="s">
        <v>175</v>
      </c>
      <c r="C61" s="54">
        <v>7838</v>
      </c>
      <c r="D61" s="54">
        <v>9677</v>
      </c>
      <c r="E61" s="55">
        <v>2560000</v>
      </c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>
        <f>1970000</f>
        <v>1970000</v>
      </c>
      <c r="AQ61" s="55"/>
      <c r="AR61" s="55"/>
      <c r="AS61" s="55"/>
      <c r="AT61" s="55"/>
      <c r="AU61" s="55"/>
      <c r="AV61" s="55"/>
      <c r="AW61" s="55"/>
      <c r="AX61" s="55">
        <v>590000</v>
      </c>
      <c r="AY61" s="55"/>
      <c r="AZ61" s="55"/>
      <c r="BA61" s="55"/>
      <c r="BB61" s="55"/>
      <c r="BC61" s="55"/>
      <c r="BD61" s="55"/>
      <c r="BE61" s="55"/>
      <c r="BF61" s="55"/>
      <c r="BG61" s="55"/>
      <c r="BH61" s="55"/>
      <c r="BI61" s="55"/>
      <c r="BJ61" s="55"/>
      <c r="BK61" s="172"/>
      <c r="BL61" s="55"/>
      <c r="BM61" s="55"/>
      <c r="BN61" s="55"/>
      <c r="BO61" s="55"/>
      <c r="BP61" s="55"/>
      <c r="BQ61" s="55"/>
      <c r="BR61" s="55"/>
      <c r="BS61" s="55"/>
      <c r="BT61" s="55"/>
      <c r="BU61" s="55"/>
      <c r="BV61" s="55"/>
      <c r="BW61" s="55"/>
      <c r="BX61" s="56">
        <f t="shared" si="0"/>
        <v>2560000</v>
      </c>
      <c r="BY61" s="55"/>
      <c r="BZ61" s="56"/>
      <c r="CA61" s="56"/>
      <c r="CB61" s="56"/>
      <c r="CC61" s="56"/>
      <c r="CD61" s="56"/>
      <c r="CE61" s="56"/>
      <c r="CF61" s="56"/>
      <c r="CG61" s="56"/>
      <c r="CH61" s="56"/>
      <c r="CI61" s="56"/>
    </row>
    <row r="62" spans="1:87" s="40" customFormat="1" ht="29.45" customHeight="1">
      <c r="A62" s="53">
        <v>46193</v>
      </c>
      <c r="B62" s="54" t="s">
        <v>264</v>
      </c>
      <c r="C62" s="54">
        <v>7834</v>
      </c>
      <c r="D62" s="54">
        <v>9683</v>
      </c>
      <c r="E62" s="55">
        <v>300000</v>
      </c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55"/>
      <c r="AY62" s="55"/>
      <c r="AZ62" s="55"/>
      <c r="BA62" s="55"/>
      <c r="BB62" s="55"/>
      <c r="BC62" s="55"/>
      <c r="BD62" s="55"/>
      <c r="BE62" s="55"/>
      <c r="BF62" s="55"/>
      <c r="BG62" s="55"/>
      <c r="BH62" s="55"/>
      <c r="BI62" s="55"/>
      <c r="BJ62" s="55"/>
      <c r="BK62" s="172"/>
      <c r="BL62" s="55"/>
      <c r="BM62" s="55"/>
      <c r="BN62" s="55"/>
      <c r="BO62" s="55">
        <v>300000</v>
      </c>
      <c r="BP62" s="55"/>
      <c r="BQ62" s="55"/>
      <c r="BR62" s="55"/>
      <c r="BS62" s="55"/>
      <c r="BT62" s="55"/>
      <c r="BU62" s="55"/>
      <c r="BV62" s="55"/>
      <c r="BW62" s="55"/>
      <c r="BX62" s="56">
        <f t="shared" si="0"/>
        <v>300000</v>
      </c>
      <c r="BY62" s="55"/>
      <c r="BZ62" s="56"/>
      <c r="CA62" s="56"/>
      <c r="CB62" s="56"/>
      <c r="CC62" s="56"/>
      <c r="CD62" s="56"/>
      <c r="CE62" s="56"/>
      <c r="CF62" s="56"/>
      <c r="CG62" s="56"/>
      <c r="CH62" s="56"/>
      <c r="CI62" s="56"/>
    </row>
    <row r="63" spans="1:87" s="40" customFormat="1" ht="29.45" customHeight="1">
      <c r="A63" s="53">
        <v>46193</v>
      </c>
      <c r="B63" s="54" t="s">
        <v>354</v>
      </c>
      <c r="C63" s="54">
        <v>7839</v>
      </c>
      <c r="D63" s="54">
        <v>10733</v>
      </c>
      <c r="E63" s="55">
        <v>404000</v>
      </c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  <c r="BB63" s="55"/>
      <c r="BC63" s="55"/>
      <c r="BD63" s="55">
        <v>404000</v>
      </c>
      <c r="BE63" s="55"/>
      <c r="BF63" s="55"/>
      <c r="BG63" s="55"/>
      <c r="BH63" s="55"/>
      <c r="BI63" s="55"/>
      <c r="BJ63" s="55"/>
      <c r="BK63" s="172"/>
      <c r="BL63" s="55"/>
      <c r="BM63" s="55"/>
      <c r="BN63" s="55"/>
      <c r="BO63" s="55"/>
      <c r="BP63" s="55"/>
      <c r="BQ63" s="55"/>
      <c r="BR63" s="55"/>
      <c r="BS63" s="55"/>
      <c r="BT63" s="55"/>
      <c r="BU63" s="55"/>
      <c r="BV63" s="55"/>
      <c r="BW63" s="55"/>
      <c r="BX63" s="56">
        <f t="shared" si="0"/>
        <v>404000</v>
      </c>
      <c r="BY63" s="55"/>
      <c r="BZ63" s="56"/>
      <c r="CA63" s="56"/>
      <c r="CB63" s="56"/>
      <c r="CC63" s="56"/>
      <c r="CD63" s="56"/>
      <c r="CE63" s="56"/>
      <c r="CF63" s="56"/>
      <c r="CG63" s="56"/>
      <c r="CH63" s="56"/>
      <c r="CI63" s="56"/>
    </row>
    <row r="64" spans="1:87" s="40" customFormat="1" ht="29.45" customHeight="1">
      <c r="A64" s="53">
        <v>46193</v>
      </c>
      <c r="B64" s="53" t="s">
        <v>30</v>
      </c>
      <c r="C64" s="54">
        <v>7836</v>
      </c>
      <c r="D64" s="54">
        <v>9685</v>
      </c>
      <c r="E64" s="55">
        <v>504000</v>
      </c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>
        <v>504000</v>
      </c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  <c r="BB64" s="55"/>
      <c r="BC64" s="55"/>
      <c r="BD64" s="55"/>
      <c r="BE64" s="55"/>
      <c r="BF64" s="55"/>
      <c r="BG64" s="55"/>
      <c r="BH64" s="55"/>
      <c r="BI64" s="55"/>
      <c r="BJ64" s="55"/>
      <c r="BK64" s="172"/>
      <c r="BL64" s="55"/>
      <c r="BM64" s="55"/>
      <c r="BN64" s="55"/>
      <c r="BO64" s="55"/>
      <c r="BP64" s="55"/>
      <c r="BQ64" s="55"/>
      <c r="BR64" s="55"/>
      <c r="BS64" s="55"/>
      <c r="BT64" s="55"/>
      <c r="BU64" s="55"/>
      <c r="BV64" s="55"/>
      <c r="BW64" s="55"/>
      <c r="BX64" s="56">
        <f t="shared" si="0"/>
        <v>504000</v>
      </c>
      <c r="BY64" s="55"/>
      <c r="BZ64" s="56"/>
      <c r="CA64" s="56"/>
      <c r="CB64" s="56"/>
      <c r="CC64" s="56"/>
      <c r="CD64" s="56"/>
      <c r="CE64" s="56"/>
      <c r="CF64" s="56"/>
      <c r="CG64" s="56"/>
      <c r="CH64" s="56"/>
      <c r="CI64" s="56"/>
    </row>
    <row r="65" spans="1:87" s="40" customFormat="1" ht="29.45" customHeight="1">
      <c r="A65" s="53">
        <v>46193</v>
      </c>
      <c r="B65" s="54" t="s">
        <v>25</v>
      </c>
      <c r="C65" s="54">
        <v>7835</v>
      </c>
      <c r="D65" s="54">
        <v>10725</v>
      </c>
      <c r="E65" s="55">
        <v>3000000</v>
      </c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  <c r="BB65" s="55"/>
      <c r="BC65" s="55"/>
      <c r="BD65" s="55"/>
      <c r="BE65" s="55"/>
      <c r="BF65" s="55"/>
      <c r="BG65" s="55"/>
      <c r="BH65" s="55"/>
      <c r="BI65" s="55">
        <v>3000000</v>
      </c>
      <c r="BJ65" s="55"/>
      <c r="BK65" s="172"/>
      <c r="BL65" s="55"/>
      <c r="BM65" s="55"/>
      <c r="BN65" s="55"/>
      <c r="BO65" s="55"/>
      <c r="BP65" s="55"/>
      <c r="BQ65" s="55"/>
      <c r="BR65" s="55"/>
      <c r="BS65" s="55"/>
      <c r="BT65" s="55"/>
      <c r="BU65" s="55"/>
      <c r="BV65" s="55"/>
      <c r="BW65" s="55"/>
      <c r="BX65" s="56">
        <f t="shared" si="0"/>
        <v>3000000</v>
      </c>
      <c r="BY65" s="55"/>
      <c r="BZ65" s="56"/>
      <c r="CA65" s="56"/>
      <c r="CB65" s="56"/>
      <c r="CC65" s="56"/>
      <c r="CD65" s="56"/>
      <c r="CE65" s="56"/>
      <c r="CF65" s="56"/>
      <c r="CG65" s="56"/>
      <c r="CH65" s="56"/>
      <c r="CI65" s="56"/>
    </row>
    <row r="66" spans="1:87" s="40" customFormat="1" ht="29.45" customHeight="1">
      <c r="A66" s="53">
        <v>46193</v>
      </c>
      <c r="B66" s="54" t="s">
        <v>96</v>
      </c>
      <c r="C66" s="54">
        <v>7840</v>
      </c>
      <c r="D66" s="54">
        <v>9676</v>
      </c>
      <c r="E66" s="55">
        <v>250000</v>
      </c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>
        <v>250000</v>
      </c>
      <c r="AV66" s="55"/>
      <c r="AW66" s="55"/>
      <c r="AX66" s="55"/>
      <c r="AY66" s="55"/>
      <c r="AZ66" s="55"/>
      <c r="BA66" s="55"/>
      <c r="BB66" s="55"/>
      <c r="BC66" s="55"/>
      <c r="BD66" s="55"/>
      <c r="BE66" s="55"/>
      <c r="BF66" s="55"/>
      <c r="BG66" s="55"/>
      <c r="BH66" s="55"/>
      <c r="BI66" s="55"/>
      <c r="BJ66" s="55"/>
      <c r="BK66" s="172"/>
      <c r="BL66" s="55"/>
      <c r="BM66" s="55"/>
      <c r="BN66" s="55"/>
      <c r="BO66" s="55"/>
      <c r="BP66" s="55"/>
      <c r="BQ66" s="55"/>
      <c r="BR66" s="55"/>
      <c r="BS66" s="55"/>
      <c r="BT66" s="55"/>
      <c r="BU66" s="55"/>
      <c r="BV66" s="55"/>
      <c r="BW66" s="55"/>
      <c r="BX66" s="56">
        <f t="shared" si="0"/>
        <v>250000</v>
      </c>
      <c r="BY66" s="55"/>
      <c r="BZ66" s="56"/>
      <c r="CA66" s="56"/>
      <c r="CB66" s="56"/>
      <c r="CC66" s="56"/>
      <c r="CD66" s="56"/>
      <c r="CE66" s="56"/>
      <c r="CF66" s="56"/>
      <c r="CG66" s="56"/>
      <c r="CH66" s="56"/>
      <c r="CI66" s="56"/>
    </row>
    <row r="67" spans="1:87" s="40" customFormat="1" ht="29.45" customHeight="1">
      <c r="A67" s="53">
        <v>46193</v>
      </c>
      <c r="B67" s="54" t="s">
        <v>264</v>
      </c>
      <c r="C67" s="54">
        <v>7837</v>
      </c>
      <c r="D67" s="54">
        <v>9684</v>
      </c>
      <c r="E67" s="55">
        <v>439000</v>
      </c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  <c r="BD67" s="55"/>
      <c r="BE67" s="55"/>
      <c r="BF67" s="55"/>
      <c r="BG67" s="55"/>
      <c r="BH67" s="55"/>
      <c r="BI67" s="55"/>
      <c r="BJ67" s="55"/>
      <c r="BK67" s="172"/>
      <c r="BL67" s="55"/>
      <c r="BM67" s="55"/>
      <c r="BN67" s="55"/>
      <c r="BO67" s="55">
        <v>439000</v>
      </c>
      <c r="BP67" s="55"/>
      <c r="BQ67" s="55"/>
      <c r="BR67" s="55"/>
      <c r="BS67" s="55"/>
      <c r="BT67" s="55"/>
      <c r="BU67" s="55"/>
      <c r="BV67" s="55"/>
      <c r="BW67" s="55"/>
      <c r="BX67" s="56">
        <f t="shared" si="0"/>
        <v>439000</v>
      </c>
      <c r="BY67" s="55"/>
      <c r="BZ67" s="56"/>
      <c r="CA67" s="56"/>
      <c r="CB67" s="56"/>
      <c r="CC67" s="56"/>
      <c r="CD67" s="56"/>
      <c r="CE67" s="56"/>
      <c r="CF67" s="56"/>
      <c r="CG67" s="56"/>
      <c r="CH67" s="56"/>
      <c r="CI67" s="56"/>
    </row>
    <row r="68" spans="1:87" s="40" customFormat="1" ht="29.45" customHeight="1">
      <c r="A68" s="53">
        <v>46193</v>
      </c>
      <c r="B68" s="54" t="s">
        <v>176</v>
      </c>
      <c r="C68" s="54">
        <v>7842</v>
      </c>
      <c r="D68" s="54">
        <v>10727</v>
      </c>
      <c r="E68" s="55">
        <v>1000000</v>
      </c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55"/>
      <c r="BD68" s="55"/>
      <c r="BE68" s="55"/>
      <c r="BF68" s="55"/>
      <c r="BG68" s="55"/>
      <c r="BH68" s="55"/>
      <c r="BI68" s="55"/>
      <c r="BJ68" s="55"/>
      <c r="BK68" s="172"/>
      <c r="BL68" s="55"/>
      <c r="BM68" s="55"/>
      <c r="BN68" s="55"/>
      <c r="BO68" s="55"/>
      <c r="BP68" s="55"/>
      <c r="BQ68" s="55"/>
      <c r="BR68" s="55"/>
      <c r="BS68" s="55"/>
      <c r="BT68" s="55">
        <v>1000000</v>
      </c>
      <c r="BU68" s="55"/>
      <c r="BV68" s="55"/>
      <c r="BW68" s="55"/>
      <c r="BX68" s="56">
        <f t="shared" ref="BX68:BX131" si="1">F68+G68+H68+I68+J68+K68+L68+M68+N68+O68+P68+Q68+R68+S68+T68+U68+V68+W68+X68+Y68+Z68+AA68+AB68+AC68+AD68+AE68+AF68+AG68+AH68+AI68+AJ68+AK68+AL68+AM68+AN68+AO68+AP68+AQ68+AR68+AS68+AT68+AU68+AV68+AW68+AX68+AY68+AZ68+BA68+BB68+BC68+BD68+BE68+BF68+BG68+BH68+BI68+BJ68+BK68+BL68+BM68+BN68+BO68+BP68+BQ68+BR68+BS68+BT68+BU68+BV68+BW68</f>
        <v>1000000</v>
      </c>
      <c r="BY68" s="55"/>
      <c r="BZ68" s="56"/>
      <c r="CA68" s="56"/>
      <c r="CB68" s="56"/>
      <c r="CC68" s="56"/>
      <c r="CD68" s="56"/>
      <c r="CE68" s="56"/>
      <c r="CF68" s="56"/>
      <c r="CG68" s="56"/>
      <c r="CH68" s="56"/>
      <c r="CI68" s="56"/>
    </row>
    <row r="69" spans="1:87" s="40" customFormat="1" ht="29.45" customHeight="1">
      <c r="A69" s="53">
        <v>46193</v>
      </c>
      <c r="B69" s="54" t="s">
        <v>214</v>
      </c>
      <c r="C69" s="54">
        <v>7843</v>
      </c>
      <c r="D69" s="54">
        <v>10750</v>
      </c>
      <c r="E69" s="55">
        <v>799000</v>
      </c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/>
      <c r="BB69" s="55"/>
      <c r="BC69" s="55"/>
      <c r="BD69" s="55"/>
      <c r="BE69" s="55"/>
      <c r="BF69" s="55"/>
      <c r="BG69" s="55"/>
      <c r="BH69" s="55"/>
      <c r="BI69" s="55"/>
      <c r="BJ69" s="55"/>
      <c r="BK69" s="172"/>
      <c r="BL69" s="55"/>
      <c r="BM69" s="55"/>
      <c r="BN69" s="55"/>
      <c r="BO69" s="55"/>
      <c r="BP69" s="55"/>
      <c r="BQ69" s="55"/>
      <c r="BR69" s="55"/>
      <c r="BS69" s="55"/>
      <c r="BT69" s="55">
        <v>799000</v>
      </c>
      <c r="BU69" s="55"/>
      <c r="BV69" s="55"/>
      <c r="BW69" s="55"/>
      <c r="BX69" s="56">
        <f t="shared" si="1"/>
        <v>799000</v>
      </c>
      <c r="BY69" s="55"/>
      <c r="BZ69" s="56"/>
      <c r="CA69" s="56"/>
      <c r="CB69" s="56"/>
      <c r="CC69" s="56"/>
      <c r="CD69" s="56"/>
      <c r="CE69" s="56"/>
      <c r="CF69" s="56"/>
      <c r="CG69" s="56"/>
      <c r="CH69" s="56"/>
      <c r="CI69" s="56"/>
    </row>
    <row r="70" spans="1:87" s="40" customFormat="1" ht="29.45" customHeight="1">
      <c r="A70" s="53">
        <v>46193</v>
      </c>
      <c r="B70" s="54" t="s">
        <v>99</v>
      </c>
      <c r="C70" s="54">
        <v>7845</v>
      </c>
      <c r="D70" s="54">
        <v>10740</v>
      </c>
      <c r="E70" s="55">
        <v>6860000</v>
      </c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>
        <v>6860000</v>
      </c>
      <c r="AY70" s="55"/>
      <c r="AZ70" s="55"/>
      <c r="BA70" s="55"/>
      <c r="BB70" s="55"/>
      <c r="BC70" s="55"/>
      <c r="BD70" s="55"/>
      <c r="BE70" s="55"/>
      <c r="BF70" s="55"/>
      <c r="BG70" s="55"/>
      <c r="BH70" s="55"/>
      <c r="BI70" s="55"/>
      <c r="BJ70" s="55"/>
      <c r="BK70" s="172">
        <v>100000</v>
      </c>
      <c r="BL70" s="55"/>
      <c r="BM70" s="55"/>
      <c r="BN70" s="55"/>
      <c r="BO70" s="55"/>
      <c r="BP70" s="55"/>
      <c r="BQ70" s="55"/>
      <c r="BR70" s="55"/>
      <c r="BS70" s="55"/>
      <c r="BT70" s="55"/>
      <c r="BU70" s="55"/>
      <c r="BV70" s="55"/>
      <c r="BW70" s="55"/>
      <c r="BX70" s="56">
        <f t="shared" si="1"/>
        <v>6960000</v>
      </c>
      <c r="BY70" s="55"/>
      <c r="BZ70" s="56"/>
      <c r="CA70" s="56"/>
      <c r="CB70" s="56"/>
      <c r="CC70" s="56"/>
      <c r="CD70" s="56"/>
      <c r="CE70" s="56"/>
      <c r="CF70" s="56"/>
      <c r="CG70" s="56"/>
      <c r="CH70" s="56"/>
      <c r="CI70" s="56"/>
    </row>
    <row r="71" spans="1:87" s="40" customFormat="1" ht="29.45" customHeight="1">
      <c r="A71" s="53">
        <v>46193</v>
      </c>
      <c r="B71" s="54" t="s">
        <v>30</v>
      </c>
      <c r="C71" s="54">
        <v>7852</v>
      </c>
      <c r="D71" s="54">
        <v>9690</v>
      </c>
      <c r="E71" s="55">
        <v>1653000</v>
      </c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  <c r="BB71" s="55"/>
      <c r="BC71" s="55"/>
      <c r="BD71" s="55"/>
      <c r="BE71" s="55"/>
      <c r="BF71" s="55"/>
      <c r="BG71" s="55">
        <v>1653000</v>
      </c>
      <c r="BH71" s="55"/>
      <c r="BI71" s="55"/>
      <c r="BJ71" s="55"/>
      <c r="BK71" s="172"/>
      <c r="BL71" s="55"/>
      <c r="BM71" s="55"/>
      <c r="BN71" s="55"/>
      <c r="BO71" s="55"/>
      <c r="BP71" s="55"/>
      <c r="BQ71" s="55"/>
      <c r="BR71" s="55"/>
      <c r="BS71" s="55"/>
      <c r="BT71" s="55"/>
      <c r="BU71" s="55"/>
      <c r="BV71" s="55"/>
      <c r="BW71" s="55"/>
      <c r="BX71" s="56">
        <f t="shared" si="1"/>
        <v>1653000</v>
      </c>
      <c r="BY71" s="55"/>
      <c r="BZ71" s="56"/>
      <c r="CA71" s="56"/>
      <c r="CB71" s="56"/>
      <c r="CC71" s="56"/>
      <c r="CD71" s="56"/>
      <c r="CE71" s="56"/>
      <c r="CF71" s="56"/>
      <c r="CG71" s="56"/>
      <c r="CH71" s="56"/>
      <c r="CI71" s="56"/>
    </row>
    <row r="72" spans="1:87" s="40" customFormat="1" ht="29.45" customHeight="1">
      <c r="A72" s="53">
        <v>46197</v>
      </c>
      <c r="B72" s="54" t="s">
        <v>355</v>
      </c>
      <c r="C72" s="54">
        <v>7850</v>
      </c>
      <c r="D72" s="50" t="s">
        <v>356</v>
      </c>
      <c r="E72" s="55">
        <v>1436000</v>
      </c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>
        <v>436000</v>
      </c>
      <c r="AN72" s="55">
        <v>1000000</v>
      </c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  <c r="BB72" s="55"/>
      <c r="BC72" s="55"/>
      <c r="BD72" s="55"/>
      <c r="BE72" s="55"/>
      <c r="BF72" s="55"/>
      <c r="BG72" s="55"/>
      <c r="BH72" s="55"/>
      <c r="BI72" s="55"/>
      <c r="BJ72" s="55"/>
      <c r="BK72" s="172"/>
      <c r="BL72" s="55"/>
      <c r="BM72" s="55"/>
      <c r="BN72" s="55"/>
      <c r="BO72" s="55"/>
      <c r="BP72" s="55"/>
      <c r="BQ72" s="55"/>
      <c r="BR72" s="55"/>
      <c r="BS72" s="55"/>
      <c r="BT72" s="55"/>
      <c r="BU72" s="55"/>
      <c r="BV72" s="55"/>
      <c r="BW72" s="55"/>
      <c r="BX72" s="56">
        <f t="shared" si="1"/>
        <v>1436000</v>
      </c>
      <c r="BY72" s="55"/>
      <c r="BZ72" s="56"/>
      <c r="CA72" s="56"/>
      <c r="CB72" s="56"/>
      <c r="CC72" s="56"/>
      <c r="CD72" s="56"/>
      <c r="CE72" s="56"/>
      <c r="CF72" s="56"/>
      <c r="CG72" s="56"/>
      <c r="CH72" s="56"/>
      <c r="CI72" s="56"/>
    </row>
    <row r="73" spans="1:87" s="40" customFormat="1" ht="29.45" customHeight="1">
      <c r="A73" s="53">
        <v>46197</v>
      </c>
      <c r="B73" s="54" t="s">
        <v>181</v>
      </c>
      <c r="C73" s="54">
        <v>7851</v>
      </c>
      <c r="D73" s="54">
        <v>10761</v>
      </c>
      <c r="E73" s="55">
        <v>3999000</v>
      </c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>
        <v>3999000</v>
      </c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  <c r="BB73" s="55"/>
      <c r="BC73" s="55"/>
      <c r="BD73" s="55"/>
      <c r="BE73" s="55"/>
      <c r="BF73" s="55"/>
      <c r="BG73" s="55"/>
      <c r="BH73" s="55"/>
      <c r="BI73" s="55"/>
      <c r="BJ73" s="55"/>
      <c r="BK73" s="172"/>
      <c r="BL73" s="55"/>
      <c r="BM73" s="55"/>
      <c r="BN73" s="55"/>
      <c r="BO73" s="55"/>
      <c r="BP73" s="55"/>
      <c r="BQ73" s="55"/>
      <c r="BR73" s="55"/>
      <c r="BS73" s="55"/>
      <c r="BT73" s="55"/>
      <c r="BU73" s="55"/>
      <c r="BV73" s="55"/>
      <c r="BW73" s="55"/>
      <c r="BX73" s="56">
        <f t="shared" si="1"/>
        <v>3999000</v>
      </c>
      <c r="BY73" s="55"/>
      <c r="BZ73" s="56"/>
      <c r="CA73" s="56"/>
      <c r="CB73" s="56"/>
      <c r="CC73" s="56"/>
      <c r="CD73" s="56"/>
      <c r="CE73" s="56"/>
      <c r="CF73" s="56"/>
      <c r="CG73" s="56"/>
      <c r="CH73" s="56"/>
      <c r="CI73" s="56"/>
    </row>
    <row r="74" spans="1:87" s="40" customFormat="1" ht="29.45" customHeight="1">
      <c r="A74" s="53">
        <v>46197</v>
      </c>
      <c r="B74" s="54" t="s">
        <v>30</v>
      </c>
      <c r="C74" s="54">
        <v>7857</v>
      </c>
      <c r="D74" s="54">
        <v>9686</v>
      </c>
      <c r="E74" s="55">
        <v>785000</v>
      </c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  <c r="BB74" s="55"/>
      <c r="BC74" s="55"/>
      <c r="BD74" s="55"/>
      <c r="BE74" s="55">
        <v>785000</v>
      </c>
      <c r="BF74" s="55"/>
      <c r="BG74" s="55"/>
      <c r="BH74" s="55"/>
      <c r="BI74" s="55"/>
      <c r="BJ74" s="55"/>
      <c r="BK74" s="172"/>
      <c r="BL74" s="55"/>
      <c r="BM74" s="55"/>
      <c r="BN74" s="55"/>
      <c r="BO74" s="55"/>
      <c r="BP74" s="55"/>
      <c r="BQ74" s="55"/>
      <c r="BR74" s="55"/>
      <c r="BS74" s="55"/>
      <c r="BT74" s="55"/>
      <c r="BU74" s="55"/>
      <c r="BV74" s="55"/>
      <c r="BW74" s="55"/>
      <c r="BX74" s="56">
        <f t="shared" si="1"/>
        <v>785000</v>
      </c>
      <c r="BY74" s="55"/>
      <c r="BZ74" s="56"/>
      <c r="CA74" s="56"/>
      <c r="CB74" s="56"/>
      <c r="CC74" s="56"/>
      <c r="CD74" s="56"/>
      <c r="CE74" s="56"/>
      <c r="CF74" s="56"/>
      <c r="CG74" s="56"/>
      <c r="CH74" s="56"/>
      <c r="CI74" s="56"/>
    </row>
    <row r="75" spans="1:87" s="40" customFormat="1" ht="29.45" customHeight="1">
      <c r="A75" s="53">
        <v>46197</v>
      </c>
      <c r="B75" s="54" t="s">
        <v>105</v>
      </c>
      <c r="C75" s="54">
        <v>7866</v>
      </c>
      <c r="D75" s="54">
        <v>9999</v>
      </c>
      <c r="E75" s="55">
        <v>300000</v>
      </c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  <c r="BD75" s="55"/>
      <c r="BE75" s="55"/>
      <c r="BF75" s="55"/>
      <c r="BG75" s="55"/>
      <c r="BH75" s="55"/>
      <c r="BI75" s="55">
        <v>300000</v>
      </c>
      <c r="BJ75" s="55"/>
      <c r="BK75" s="172"/>
      <c r="BL75" s="55"/>
      <c r="BM75" s="55"/>
      <c r="BN75" s="55"/>
      <c r="BO75" s="55"/>
      <c r="BP75" s="55"/>
      <c r="BQ75" s="55"/>
      <c r="BR75" s="55"/>
      <c r="BS75" s="55"/>
      <c r="BT75" s="55"/>
      <c r="BU75" s="55"/>
      <c r="BV75" s="55"/>
      <c r="BW75" s="55"/>
      <c r="BX75" s="56">
        <f t="shared" si="1"/>
        <v>300000</v>
      </c>
      <c r="BY75" s="55"/>
      <c r="BZ75" s="56"/>
      <c r="CA75" s="56"/>
      <c r="CB75" s="56"/>
      <c r="CC75" s="56"/>
      <c r="CD75" s="56"/>
      <c r="CE75" s="56"/>
      <c r="CF75" s="56"/>
      <c r="CG75" s="56"/>
      <c r="CH75" s="56"/>
      <c r="CI75" s="56"/>
    </row>
    <row r="76" spans="1:87" s="40" customFormat="1" ht="29.45" customHeight="1">
      <c r="A76" s="53">
        <v>46198</v>
      </c>
      <c r="B76" s="54" t="s">
        <v>94</v>
      </c>
      <c r="C76" s="54">
        <v>7860</v>
      </c>
      <c r="D76" s="54">
        <v>10760</v>
      </c>
      <c r="E76" s="55">
        <v>800000</v>
      </c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5"/>
      <c r="AW76" s="55"/>
      <c r="AX76" s="55"/>
      <c r="AY76" s="55"/>
      <c r="AZ76" s="55"/>
      <c r="BA76" s="55"/>
      <c r="BB76" s="55"/>
      <c r="BC76" s="55"/>
      <c r="BD76" s="55"/>
      <c r="BE76" s="55"/>
      <c r="BF76" s="55"/>
      <c r="BG76" s="55"/>
      <c r="BH76" s="55"/>
      <c r="BI76" s="55"/>
      <c r="BJ76" s="55"/>
      <c r="BK76" s="172"/>
      <c r="BL76" s="55"/>
      <c r="BM76" s="55"/>
      <c r="BN76" s="55"/>
      <c r="BO76" s="55"/>
      <c r="BP76" s="55"/>
      <c r="BQ76" s="55"/>
      <c r="BR76" s="55"/>
      <c r="BS76" s="55"/>
      <c r="BT76" s="55">
        <v>800000</v>
      </c>
      <c r="BU76" s="55"/>
      <c r="BV76" s="55"/>
      <c r="BW76" s="55"/>
      <c r="BX76" s="56">
        <f t="shared" si="1"/>
        <v>800000</v>
      </c>
      <c r="BY76" s="55"/>
      <c r="BZ76" s="56"/>
      <c r="CA76" s="56"/>
      <c r="CB76" s="56"/>
      <c r="CC76" s="56"/>
      <c r="CD76" s="56"/>
      <c r="CE76" s="56"/>
      <c r="CF76" s="56"/>
      <c r="CG76" s="56"/>
      <c r="CH76" s="56"/>
      <c r="CI76" s="56"/>
    </row>
    <row r="77" spans="1:87" s="40" customFormat="1" ht="29.45" customHeight="1">
      <c r="A77" s="53">
        <v>46197</v>
      </c>
      <c r="B77" s="54" t="s">
        <v>108</v>
      </c>
      <c r="C77" s="54">
        <v>7859</v>
      </c>
      <c r="D77" s="54">
        <v>10743</v>
      </c>
      <c r="E77" s="55">
        <v>320000</v>
      </c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  <c r="BB77" s="55"/>
      <c r="BC77" s="55"/>
      <c r="BD77" s="55"/>
      <c r="BE77" s="55"/>
      <c r="BF77" s="55"/>
      <c r="BG77" s="55"/>
      <c r="BH77" s="55"/>
      <c r="BI77" s="55"/>
      <c r="BJ77" s="55"/>
      <c r="BK77" s="172"/>
      <c r="BL77" s="55"/>
      <c r="BM77" s="55"/>
      <c r="BN77" s="55"/>
      <c r="BO77" s="55"/>
      <c r="BP77" s="55"/>
      <c r="BQ77" s="55"/>
      <c r="BR77" s="55"/>
      <c r="BS77" s="55"/>
      <c r="BT77" s="55"/>
      <c r="BU77" s="55"/>
      <c r="BV77" s="55">
        <v>320000</v>
      </c>
      <c r="BW77" s="55"/>
      <c r="BX77" s="56">
        <f t="shared" si="1"/>
        <v>320000</v>
      </c>
      <c r="BY77" s="55"/>
      <c r="BZ77" s="56"/>
      <c r="CA77" s="56"/>
      <c r="CB77" s="56"/>
      <c r="CC77" s="56"/>
      <c r="CD77" s="56"/>
      <c r="CE77" s="56"/>
      <c r="CF77" s="56"/>
      <c r="CG77" s="56"/>
      <c r="CH77" s="56"/>
      <c r="CI77" s="56"/>
    </row>
    <row r="78" spans="1:87" s="40" customFormat="1" ht="29.45" customHeight="1">
      <c r="A78" s="54"/>
      <c r="B78" s="54" t="s">
        <v>25</v>
      </c>
      <c r="C78" s="54">
        <v>7868</v>
      </c>
      <c r="D78" s="54">
        <v>10768</v>
      </c>
      <c r="E78" s="55">
        <v>4700000</v>
      </c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  <c r="BB78" s="55"/>
      <c r="BC78" s="55"/>
      <c r="BD78" s="55"/>
      <c r="BE78" s="55"/>
      <c r="BF78" s="55"/>
      <c r="BG78" s="55"/>
      <c r="BH78" s="55"/>
      <c r="BI78" s="55"/>
      <c r="BJ78" s="55"/>
      <c r="BK78" s="172"/>
      <c r="BL78" s="55"/>
      <c r="BM78" s="55"/>
      <c r="BN78" s="55"/>
      <c r="BO78" s="55"/>
      <c r="BP78" s="55"/>
      <c r="BQ78" s="55"/>
      <c r="BR78" s="55"/>
      <c r="BS78" s="55"/>
      <c r="BT78" s="55">
        <v>4700000</v>
      </c>
      <c r="BU78" s="55"/>
      <c r="BV78" s="55"/>
      <c r="BW78" s="55"/>
      <c r="BX78" s="56">
        <f t="shared" si="1"/>
        <v>4700000</v>
      </c>
      <c r="BY78" s="55"/>
      <c r="BZ78" s="56"/>
      <c r="CA78" s="56"/>
      <c r="CB78" s="56"/>
      <c r="CC78" s="56"/>
      <c r="CD78" s="56"/>
      <c r="CE78" s="56"/>
      <c r="CF78" s="56"/>
      <c r="CG78" s="56"/>
      <c r="CH78" s="56"/>
      <c r="CI78" s="56"/>
    </row>
    <row r="79" spans="1:87" s="40" customFormat="1" ht="29.45" customHeight="1">
      <c r="A79" s="53">
        <v>46198</v>
      </c>
      <c r="B79" s="54" t="s">
        <v>357</v>
      </c>
      <c r="C79" s="54">
        <v>7867</v>
      </c>
      <c r="D79" s="54">
        <v>10000</v>
      </c>
      <c r="E79" s="55">
        <v>650000</v>
      </c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>
        <v>650000</v>
      </c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  <c r="BB79" s="55"/>
      <c r="BC79" s="55"/>
      <c r="BD79" s="55"/>
      <c r="BE79" s="55"/>
      <c r="BF79" s="55"/>
      <c r="BG79" s="55"/>
      <c r="BH79" s="55"/>
      <c r="BI79" s="55"/>
      <c r="BJ79" s="55"/>
      <c r="BK79" s="172"/>
      <c r="BL79" s="55"/>
      <c r="BM79" s="55"/>
      <c r="BN79" s="55"/>
      <c r="BO79" s="55"/>
      <c r="BP79" s="55"/>
      <c r="BQ79" s="55"/>
      <c r="BR79" s="55"/>
      <c r="BS79" s="55"/>
      <c r="BT79" s="55"/>
      <c r="BU79" s="55"/>
      <c r="BV79" s="55"/>
      <c r="BW79" s="55"/>
      <c r="BX79" s="56">
        <f t="shared" si="1"/>
        <v>650000</v>
      </c>
      <c r="BY79" s="55"/>
      <c r="BZ79" s="56"/>
      <c r="CA79" s="56"/>
      <c r="CB79" s="56"/>
      <c r="CC79" s="56"/>
      <c r="CD79" s="56"/>
      <c r="CE79" s="56"/>
      <c r="CF79" s="56"/>
      <c r="CG79" s="56"/>
      <c r="CH79" s="56"/>
      <c r="CI79" s="56"/>
    </row>
    <row r="80" spans="1:87" s="40" customFormat="1" ht="29.45" customHeight="1">
      <c r="A80" s="53">
        <v>46197</v>
      </c>
      <c r="B80" s="54" t="s">
        <v>89</v>
      </c>
      <c r="C80" s="54">
        <v>7858</v>
      </c>
      <c r="D80" s="54"/>
      <c r="E80" s="55">
        <v>3000000</v>
      </c>
      <c r="F80" s="55"/>
      <c r="G80" s="55"/>
      <c r="H80" s="55"/>
      <c r="I80" s="55">
        <v>3000000</v>
      </c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  <c r="BB80" s="55"/>
      <c r="BC80" s="55"/>
      <c r="BD80" s="55"/>
      <c r="BE80" s="55"/>
      <c r="BF80" s="55"/>
      <c r="BG80" s="55"/>
      <c r="BH80" s="55"/>
      <c r="BI80" s="55"/>
      <c r="BJ80" s="55"/>
      <c r="BK80" s="172"/>
      <c r="BL80" s="55"/>
      <c r="BM80" s="55"/>
      <c r="BN80" s="55"/>
      <c r="BO80" s="55"/>
      <c r="BP80" s="55"/>
      <c r="BQ80" s="55"/>
      <c r="BR80" s="55"/>
      <c r="BS80" s="55"/>
      <c r="BT80" s="55"/>
      <c r="BU80" s="55"/>
      <c r="BV80" s="55"/>
      <c r="BW80" s="55"/>
      <c r="BX80" s="56">
        <f t="shared" si="1"/>
        <v>3000000</v>
      </c>
      <c r="BY80" s="55"/>
      <c r="BZ80" s="56"/>
      <c r="CA80" s="56"/>
      <c r="CB80" s="56"/>
      <c r="CC80" s="56"/>
      <c r="CD80" s="56"/>
      <c r="CE80" s="56"/>
      <c r="CF80" s="56"/>
      <c r="CG80" s="56"/>
      <c r="CH80" s="56"/>
      <c r="CI80" s="56"/>
    </row>
    <row r="81" spans="1:87" s="40" customFormat="1" ht="29.45" customHeight="1">
      <c r="A81" s="53">
        <v>46198</v>
      </c>
      <c r="B81" s="54" t="s">
        <v>338</v>
      </c>
      <c r="C81" s="54">
        <v>7862</v>
      </c>
      <c r="D81" s="54">
        <v>10769</v>
      </c>
      <c r="E81" s="55">
        <v>460000</v>
      </c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  <c r="BB81" s="55"/>
      <c r="BC81" s="55"/>
      <c r="BD81" s="55"/>
      <c r="BE81" s="55">
        <v>460000</v>
      </c>
      <c r="BF81" s="55"/>
      <c r="BG81" s="55"/>
      <c r="BH81" s="55"/>
      <c r="BI81" s="55"/>
      <c r="BJ81" s="55"/>
      <c r="BK81" s="172"/>
      <c r="BL81" s="55"/>
      <c r="BM81" s="55"/>
      <c r="BN81" s="55"/>
      <c r="BO81" s="55"/>
      <c r="BP81" s="55"/>
      <c r="BQ81" s="55"/>
      <c r="BR81" s="55"/>
      <c r="BS81" s="55"/>
      <c r="BT81" s="55"/>
      <c r="BU81" s="55"/>
      <c r="BV81" s="55"/>
      <c r="BW81" s="55"/>
      <c r="BX81" s="56">
        <f t="shared" si="1"/>
        <v>460000</v>
      </c>
      <c r="BY81" s="55"/>
      <c r="BZ81" s="56"/>
      <c r="CA81" s="56"/>
      <c r="CB81" s="56"/>
      <c r="CC81" s="56"/>
      <c r="CD81" s="56"/>
      <c r="CE81" s="56"/>
      <c r="CF81" s="56"/>
      <c r="CG81" s="56"/>
      <c r="CH81" s="56"/>
      <c r="CI81" s="56"/>
    </row>
    <row r="82" spans="1:87" s="40" customFormat="1" ht="29.45" customHeight="1">
      <c r="A82" s="53">
        <v>46199</v>
      </c>
      <c r="B82" s="54" t="s">
        <v>94</v>
      </c>
      <c r="C82" s="54">
        <v>7894</v>
      </c>
      <c r="D82" s="54">
        <v>9695</v>
      </c>
      <c r="E82" s="55">
        <v>107318370</v>
      </c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5"/>
      <c r="AZ82" s="55"/>
      <c r="BA82" s="55"/>
      <c r="BB82" s="55"/>
      <c r="BC82" s="55"/>
      <c r="BD82" s="55"/>
      <c r="BE82" s="55"/>
      <c r="BF82" s="55">
        <v>107318370</v>
      </c>
      <c r="BG82" s="55"/>
      <c r="BH82" s="55"/>
      <c r="BI82" s="55"/>
      <c r="BJ82" s="55"/>
      <c r="BK82" s="172"/>
      <c r="BL82" s="55"/>
      <c r="BM82" s="55"/>
      <c r="BN82" s="55"/>
      <c r="BO82" s="55"/>
      <c r="BP82" s="55"/>
      <c r="BQ82" s="55"/>
      <c r="BR82" s="55"/>
      <c r="BS82" s="55"/>
      <c r="BT82" s="55"/>
      <c r="BU82" s="55"/>
      <c r="BV82" s="55"/>
      <c r="BW82" s="55"/>
      <c r="BX82" s="56">
        <f t="shared" si="1"/>
        <v>107318370</v>
      </c>
      <c r="BY82" s="55"/>
      <c r="BZ82" s="56"/>
      <c r="CA82" s="56"/>
      <c r="CB82" s="56"/>
      <c r="CC82" s="56"/>
      <c r="CD82" s="56"/>
      <c r="CE82" s="56"/>
      <c r="CF82" s="56"/>
      <c r="CG82" s="56"/>
      <c r="CH82" s="56"/>
      <c r="CI82" s="56"/>
    </row>
    <row r="83" spans="1:87" s="40" customFormat="1" ht="29.45" customHeight="1">
      <c r="A83" s="53">
        <v>46199</v>
      </c>
      <c r="B83" s="54" t="s">
        <v>96</v>
      </c>
      <c r="C83" s="54">
        <v>7891</v>
      </c>
      <c r="D83" s="54">
        <v>10797</v>
      </c>
      <c r="E83" s="55">
        <v>640000</v>
      </c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>
        <v>640000</v>
      </c>
      <c r="AV83" s="55"/>
      <c r="AW83" s="55"/>
      <c r="AX83" s="55"/>
      <c r="AY83" s="55"/>
      <c r="AZ83" s="55"/>
      <c r="BA83" s="55"/>
      <c r="BB83" s="55"/>
      <c r="BC83" s="55"/>
      <c r="BD83" s="55"/>
      <c r="BE83" s="55"/>
      <c r="BF83" s="55"/>
      <c r="BG83" s="55"/>
      <c r="BH83" s="55"/>
      <c r="BI83" s="55"/>
      <c r="BJ83" s="55"/>
      <c r="BK83" s="172"/>
      <c r="BL83" s="55"/>
      <c r="BM83" s="55"/>
      <c r="BN83" s="55"/>
      <c r="BO83" s="55"/>
      <c r="BP83" s="55"/>
      <c r="BQ83" s="55"/>
      <c r="BR83" s="55"/>
      <c r="BS83" s="55"/>
      <c r="BT83" s="55"/>
      <c r="BU83" s="55"/>
      <c r="BV83" s="55"/>
      <c r="BW83" s="55"/>
      <c r="BX83" s="56">
        <f t="shared" si="1"/>
        <v>640000</v>
      </c>
      <c r="BY83" s="55"/>
      <c r="BZ83" s="56"/>
      <c r="CA83" s="56"/>
      <c r="CB83" s="56"/>
      <c r="CC83" s="56"/>
      <c r="CD83" s="56"/>
      <c r="CE83" s="56"/>
      <c r="CF83" s="56"/>
      <c r="CG83" s="56"/>
      <c r="CH83" s="56"/>
      <c r="CI83" s="56"/>
    </row>
    <row r="84" spans="1:87" s="40" customFormat="1" ht="29.45" customHeight="1">
      <c r="A84" s="53">
        <v>46199</v>
      </c>
      <c r="B84" s="54" t="s">
        <v>358</v>
      </c>
      <c r="C84" s="54">
        <v>7870</v>
      </c>
      <c r="D84" s="54">
        <v>10765</v>
      </c>
      <c r="E84" s="55">
        <v>2000000</v>
      </c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/>
      <c r="AY84" s="55"/>
      <c r="AZ84" s="55"/>
      <c r="BA84" s="55"/>
      <c r="BB84" s="55"/>
      <c r="BC84" s="55"/>
      <c r="BD84" s="55"/>
      <c r="BE84" s="55"/>
      <c r="BF84" s="55">
        <v>2000000</v>
      </c>
      <c r="BG84" s="55"/>
      <c r="BH84" s="55"/>
      <c r="BI84" s="55"/>
      <c r="BJ84" s="55"/>
      <c r="BK84" s="172"/>
      <c r="BL84" s="55"/>
      <c r="BM84" s="55"/>
      <c r="BN84" s="55"/>
      <c r="BO84" s="55"/>
      <c r="BP84" s="55"/>
      <c r="BQ84" s="55"/>
      <c r="BR84" s="55"/>
      <c r="BS84" s="55"/>
      <c r="BT84" s="55"/>
      <c r="BU84" s="55"/>
      <c r="BV84" s="55"/>
      <c r="BW84" s="55"/>
      <c r="BX84" s="56">
        <f t="shared" si="1"/>
        <v>2000000</v>
      </c>
      <c r="BY84" s="55"/>
      <c r="BZ84" s="56"/>
      <c r="CA84" s="56"/>
      <c r="CB84" s="56"/>
      <c r="CC84" s="56"/>
      <c r="CD84" s="56"/>
      <c r="CE84" s="56"/>
      <c r="CF84" s="56"/>
      <c r="CG84" s="56"/>
      <c r="CH84" s="56"/>
      <c r="CI84" s="56"/>
    </row>
    <row r="85" spans="1:87" s="40" customFormat="1" ht="29.45" customHeight="1">
      <c r="A85" s="53">
        <v>46199</v>
      </c>
      <c r="B85" s="54" t="s">
        <v>94</v>
      </c>
      <c r="C85" s="54">
        <v>7896</v>
      </c>
      <c r="D85" s="54">
        <v>9696</v>
      </c>
      <c r="E85" s="55">
        <v>6500000</v>
      </c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/>
      <c r="AY85" s="55"/>
      <c r="AZ85" s="55"/>
      <c r="BA85" s="55"/>
      <c r="BB85" s="55"/>
      <c r="BC85" s="55"/>
      <c r="BD85" s="55"/>
      <c r="BE85" s="55"/>
      <c r="BF85" s="55"/>
      <c r="BG85" s="55"/>
      <c r="BH85" s="55"/>
      <c r="BI85" s="55"/>
      <c r="BJ85" s="55"/>
      <c r="BK85" s="172">
        <v>6500000</v>
      </c>
      <c r="BL85" s="55"/>
      <c r="BM85" s="55"/>
      <c r="BN85" s="55"/>
      <c r="BO85" s="55"/>
      <c r="BP85" s="55"/>
      <c r="BQ85" s="55"/>
      <c r="BR85" s="55"/>
      <c r="BS85" s="55"/>
      <c r="BT85" s="55"/>
      <c r="BU85" s="55"/>
      <c r="BV85" s="55"/>
      <c r="BW85" s="55"/>
      <c r="BX85" s="56">
        <f t="shared" si="1"/>
        <v>6500000</v>
      </c>
      <c r="BY85" s="55"/>
      <c r="BZ85" s="56"/>
      <c r="CA85" s="56"/>
      <c r="CB85" s="56"/>
      <c r="CC85" s="56"/>
      <c r="CD85" s="56"/>
      <c r="CE85" s="56"/>
      <c r="CF85" s="56"/>
      <c r="CG85" s="56"/>
      <c r="CH85" s="56"/>
      <c r="CI85" s="56"/>
    </row>
    <row r="86" spans="1:87" s="40" customFormat="1" ht="29.45" customHeight="1">
      <c r="A86" s="53">
        <v>46199</v>
      </c>
      <c r="B86" s="54" t="s">
        <v>359</v>
      </c>
      <c r="C86" s="54">
        <v>7871</v>
      </c>
      <c r="D86" s="54">
        <v>10780</v>
      </c>
      <c r="E86" s="55">
        <v>1000000</v>
      </c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>
        <v>1000000</v>
      </c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/>
      <c r="AY86" s="55"/>
      <c r="AZ86" s="55"/>
      <c r="BA86" s="55"/>
      <c r="BB86" s="55"/>
      <c r="BC86" s="55"/>
      <c r="BD86" s="55"/>
      <c r="BE86" s="55"/>
      <c r="BF86" s="55"/>
      <c r="BG86" s="55"/>
      <c r="BH86" s="55"/>
      <c r="BI86" s="55"/>
      <c r="BJ86" s="55"/>
      <c r="BK86" s="172"/>
      <c r="BL86" s="55"/>
      <c r="BM86" s="55"/>
      <c r="BN86" s="55"/>
      <c r="BO86" s="55"/>
      <c r="BP86" s="55"/>
      <c r="BQ86" s="55"/>
      <c r="BR86" s="55"/>
      <c r="BS86" s="55"/>
      <c r="BT86" s="55"/>
      <c r="BU86" s="55"/>
      <c r="BV86" s="55"/>
      <c r="BW86" s="55"/>
      <c r="BX86" s="56">
        <f t="shared" si="1"/>
        <v>1000000</v>
      </c>
      <c r="BY86" s="55"/>
      <c r="BZ86" s="56"/>
      <c r="CA86" s="56"/>
      <c r="CB86" s="56"/>
      <c r="CC86" s="56"/>
      <c r="CD86" s="56"/>
      <c r="CE86" s="56"/>
      <c r="CF86" s="56"/>
      <c r="CG86" s="56"/>
      <c r="CH86" s="56"/>
      <c r="CI86" s="56"/>
    </row>
    <row r="87" spans="1:87" s="40" customFormat="1" ht="29.45" customHeight="1">
      <c r="A87" s="53">
        <v>46199</v>
      </c>
      <c r="B87" s="54" t="s">
        <v>360</v>
      </c>
      <c r="C87" s="54">
        <v>7872</v>
      </c>
      <c r="D87" s="54">
        <v>10771</v>
      </c>
      <c r="E87" s="55">
        <v>450000</v>
      </c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  <c r="BB87" s="55"/>
      <c r="BC87" s="55"/>
      <c r="BD87" s="55"/>
      <c r="BE87" s="55"/>
      <c r="BF87" s="55"/>
      <c r="BG87" s="55"/>
      <c r="BH87" s="55"/>
      <c r="BI87" s="55"/>
      <c r="BJ87" s="55"/>
      <c r="BK87" s="172"/>
      <c r="BL87" s="55"/>
      <c r="BM87" s="55"/>
      <c r="BN87" s="55"/>
      <c r="BO87" s="55"/>
      <c r="BP87" s="55"/>
      <c r="BQ87" s="55"/>
      <c r="BR87" s="55"/>
      <c r="BS87" s="55"/>
      <c r="BT87" s="55"/>
      <c r="BU87" s="55"/>
      <c r="BV87" s="55">
        <v>450000</v>
      </c>
      <c r="BW87" s="55"/>
      <c r="BX87" s="56">
        <f t="shared" si="1"/>
        <v>450000</v>
      </c>
      <c r="BY87" s="55"/>
      <c r="BZ87" s="56"/>
      <c r="CA87" s="56"/>
      <c r="CB87" s="56"/>
      <c r="CC87" s="56"/>
      <c r="CD87" s="56"/>
      <c r="CE87" s="56"/>
      <c r="CF87" s="56"/>
      <c r="CG87" s="56"/>
      <c r="CH87" s="56"/>
      <c r="CI87" s="56"/>
    </row>
    <row r="88" spans="1:87" s="40" customFormat="1" ht="29.45" customHeight="1">
      <c r="A88" s="53">
        <v>46199</v>
      </c>
      <c r="B88" s="54" t="s">
        <v>94</v>
      </c>
      <c r="C88" s="54">
        <v>7895</v>
      </c>
      <c r="D88" s="54">
        <v>9697</v>
      </c>
      <c r="E88" s="55">
        <v>4200000</v>
      </c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  <c r="AZ88" s="55"/>
      <c r="BA88" s="55"/>
      <c r="BB88" s="55"/>
      <c r="BC88" s="55"/>
      <c r="BD88" s="55"/>
      <c r="BE88" s="55"/>
      <c r="BF88" s="55"/>
      <c r="BG88" s="55"/>
      <c r="BH88" s="55"/>
      <c r="BI88" s="55"/>
      <c r="BJ88" s="55"/>
      <c r="BK88" s="172">
        <v>4200000</v>
      </c>
      <c r="BL88" s="55"/>
      <c r="BM88" s="55"/>
      <c r="BN88" s="55"/>
      <c r="BO88" s="55"/>
      <c r="BP88" s="55"/>
      <c r="BQ88" s="55"/>
      <c r="BR88" s="55"/>
      <c r="BS88" s="55"/>
      <c r="BT88" s="55"/>
      <c r="BU88" s="55"/>
      <c r="BV88" s="55"/>
      <c r="BW88" s="55"/>
      <c r="BX88" s="56">
        <f t="shared" si="1"/>
        <v>4200000</v>
      </c>
      <c r="BY88" s="55"/>
      <c r="BZ88" s="56"/>
      <c r="CA88" s="56"/>
      <c r="CB88" s="56"/>
      <c r="CC88" s="56"/>
      <c r="CD88" s="56"/>
      <c r="CE88" s="56"/>
      <c r="CF88" s="56"/>
      <c r="CG88" s="56"/>
      <c r="CH88" s="56"/>
      <c r="CI88" s="56"/>
    </row>
    <row r="89" spans="1:87" s="40" customFormat="1" ht="29.45" customHeight="1">
      <c r="A89" s="53">
        <v>46199</v>
      </c>
      <c r="B89" s="54" t="s">
        <v>74</v>
      </c>
      <c r="C89" s="54">
        <v>7849</v>
      </c>
      <c r="D89" s="54">
        <v>9691</v>
      </c>
      <c r="E89" s="55">
        <v>540000</v>
      </c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55"/>
      <c r="AT89" s="55"/>
      <c r="AU89" s="55"/>
      <c r="AV89" s="55"/>
      <c r="AW89" s="55">
        <v>540000</v>
      </c>
      <c r="AX89" s="55"/>
      <c r="AY89" s="55"/>
      <c r="AZ89" s="55"/>
      <c r="BA89" s="55"/>
      <c r="BB89" s="55"/>
      <c r="BC89" s="55"/>
      <c r="BD89" s="55"/>
      <c r="BE89" s="55"/>
      <c r="BF89" s="55"/>
      <c r="BG89" s="55"/>
      <c r="BH89" s="55"/>
      <c r="BI89" s="55"/>
      <c r="BJ89" s="55"/>
      <c r="BK89" s="172"/>
      <c r="BL89" s="55"/>
      <c r="BM89" s="55"/>
      <c r="BN89" s="55"/>
      <c r="BO89" s="55"/>
      <c r="BP89" s="55"/>
      <c r="BQ89" s="55"/>
      <c r="BR89" s="55"/>
      <c r="BS89" s="55"/>
      <c r="BT89" s="55"/>
      <c r="BU89" s="55"/>
      <c r="BV89" s="55"/>
      <c r="BW89" s="55"/>
      <c r="BX89" s="56">
        <f t="shared" si="1"/>
        <v>540000</v>
      </c>
      <c r="BY89" s="55"/>
      <c r="BZ89" s="56"/>
      <c r="CA89" s="56"/>
      <c r="CB89" s="56"/>
      <c r="CC89" s="56"/>
      <c r="CD89" s="56"/>
      <c r="CE89" s="56"/>
      <c r="CF89" s="56"/>
      <c r="CG89" s="56"/>
      <c r="CH89" s="56"/>
      <c r="CI89" s="56"/>
    </row>
    <row r="90" spans="1:87" s="40" customFormat="1" ht="29.45" customHeight="1">
      <c r="A90" s="53">
        <v>46199</v>
      </c>
      <c r="B90" s="54" t="s">
        <v>25</v>
      </c>
      <c r="C90" s="54">
        <v>7888</v>
      </c>
      <c r="D90" s="54">
        <v>10800</v>
      </c>
      <c r="E90" s="55">
        <v>2000000</v>
      </c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>
        <v>2000000</v>
      </c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55"/>
      <c r="AV90" s="55"/>
      <c r="AW90" s="55"/>
      <c r="AX90" s="55"/>
      <c r="AY90" s="55"/>
      <c r="AZ90" s="55"/>
      <c r="BA90" s="55"/>
      <c r="BB90" s="55"/>
      <c r="BC90" s="55"/>
      <c r="BD90" s="55"/>
      <c r="BE90" s="55"/>
      <c r="BF90" s="55"/>
      <c r="BG90" s="55"/>
      <c r="BH90" s="55"/>
      <c r="BI90" s="55"/>
      <c r="BJ90" s="55"/>
      <c r="BK90" s="172"/>
      <c r="BL90" s="55"/>
      <c r="BM90" s="55"/>
      <c r="BN90" s="55"/>
      <c r="BO90" s="55"/>
      <c r="BP90" s="55"/>
      <c r="BQ90" s="55"/>
      <c r="BR90" s="55"/>
      <c r="BS90" s="55"/>
      <c r="BT90" s="55"/>
      <c r="BU90" s="55"/>
      <c r="BV90" s="55"/>
      <c r="BW90" s="55"/>
      <c r="BX90" s="56">
        <f t="shared" si="1"/>
        <v>2000000</v>
      </c>
      <c r="BY90" s="55"/>
      <c r="BZ90" s="56"/>
      <c r="CA90" s="56"/>
      <c r="CB90" s="56"/>
      <c r="CC90" s="56"/>
      <c r="CD90" s="56"/>
      <c r="CE90" s="56"/>
      <c r="CF90" s="56"/>
      <c r="CG90" s="56"/>
      <c r="CH90" s="56"/>
      <c r="CI90" s="56"/>
    </row>
    <row r="91" spans="1:87" s="40" customFormat="1" ht="29.45" customHeight="1">
      <c r="A91" s="53">
        <v>46199</v>
      </c>
      <c r="B91" s="54" t="s">
        <v>25</v>
      </c>
      <c r="C91" s="54">
        <v>7878</v>
      </c>
      <c r="D91" s="54">
        <v>10787</v>
      </c>
      <c r="E91" s="55">
        <v>480000</v>
      </c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>
        <v>480000</v>
      </c>
      <c r="AM91" s="55"/>
      <c r="AN91" s="55"/>
      <c r="AO91" s="55"/>
      <c r="AP91" s="55"/>
      <c r="AQ91" s="55"/>
      <c r="AR91" s="55"/>
      <c r="AS91" s="55"/>
      <c r="AT91" s="55"/>
      <c r="AU91" s="55"/>
      <c r="AV91" s="55"/>
      <c r="AW91" s="55"/>
      <c r="AX91" s="55"/>
      <c r="AY91" s="55"/>
      <c r="AZ91" s="55"/>
      <c r="BA91" s="55"/>
      <c r="BB91" s="55"/>
      <c r="BC91" s="55"/>
      <c r="BD91" s="55"/>
      <c r="BE91" s="55"/>
      <c r="BF91" s="55"/>
      <c r="BG91" s="55"/>
      <c r="BH91" s="55"/>
      <c r="BI91" s="55"/>
      <c r="BJ91" s="55"/>
      <c r="BK91" s="172"/>
      <c r="BL91" s="55"/>
      <c r="BM91" s="55"/>
      <c r="BN91" s="55"/>
      <c r="BO91" s="55"/>
      <c r="BP91" s="55"/>
      <c r="BQ91" s="55"/>
      <c r="BR91" s="55"/>
      <c r="BS91" s="55"/>
      <c r="BT91" s="55"/>
      <c r="BU91" s="55"/>
      <c r="BV91" s="55"/>
      <c r="BW91" s="55"/>
      <c r="BX91" s="56">
        <f t="shared" si="1"/>
        <v>480000</v>
      </c>
      <c r="BY91" s="55"/>
      <c r="BZ91" s="56"/>
      <c r="CA91" s="56"/>
      <c r="CB91" s="56"/>
      <c r="CC91" s="56"/>
      <c r="CD91" s="56"/>
      <c r="CE91" s="56"/>
      <c r="CF91" s="56"/>
      <c r="CG91" s="56"/>
      <c r="CH91" s="56"/>
      <c r="CI91" s="56"/>
    </row>
    <row r="92" spans="1:87" s="40" customFormat="1" ht="29.45" customHeight="1">
      <c r="A92" s="53">
        <v>46199</v>
      </c>
      <c r="B92" s="54" t="s">
        <v>94</v>
      </c>
      <c r="C92" s="54">
        <v>7863</v>
      </c>
      <c r="D92" s="54">
        <v>10766</v>
      </c>
      <c r="E92" s="55">
        <v>1030000</v>
      </c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>
        <v>1030000</v>
      </c>
      <c r="AO92" s="55"/>
      <c r="AP92" s="55"/>
      <c r="AQ92" s="55"/>
      <c r="AR92" s="55"/>
      <c r="AS92" s="55"/>
      <c r="AT92" s="55"/>
      <c r="AU92" s="55"/>
      <c r="AV92" s="55"/>
      <c r="AW92" s="55"/>
      <c r="AX92" s="55"/>
      <c r="AY92" s="55"/>
      <c r="AZ92" s="55"/>
      <c r="BA92" s="55"/>
      <c r="BB92" s="55"/>
      <c r="BC92" s="55"/>
      <c r="BD92" s="55"/>
      <c r="BE92" s="55"/>
      <c r="BF92" s="55"/>
      <c r="BG92" s="55"/>
      <c r="BH92" s="55"/>
      <c r="BI92" s="55"/>
      <c r="BJ92" s="55"/>
      <c r="BK92" s="172"/>
      <c r="BL92" s="55"/>
      <c r="BM92" s="55"/>
      <c r="BN92" s="55"/>
      <c r="BO92" s="55"/>
      <c r="BP92" s="55"/>
      <c r="BQ92" s="55"/>
      <c r="BR92" s="55"/>
      <c r="BS92" s="55"/>
      <c r="BT92" s="55"/>
      <c r="BU92" s="55"/>
      <c r="BV92" s="55"/>
      <c r="BW92" s="55"/>
      <c r="BX92" s="56">
        <f t="shared" si="1"/>
        <v>1030000</v>
      </c>
      <c r="BY92" s="55"/>
      <c r="BZ92" s="56"/>
      <c r="CA92" s="56"/>
      <c r="CB92" s="56"/>
      <c r="CC92" s="56"/>
      <c r="CD92" s="56"/>
      <c r="CE92" s="56"/>
      <c r="CF92" s="56"/>
      <c r="CG92" s="56"/>
      <c r="CH92" s="56"/>
      <c r="CI92" s="56"/>
    </row>
    <row r="93" spans="1:87" s="40" customFormat="1" ht="29.45" customHeight="1">
      <c r="A93" s="53">
        <v>46199</v>
      </c>
      <c r="B93" s="54" t="s">
        <v>94</v>
      </c>
      <c r="C93" s="54">
        <v>7864</v>
      </c>
      <c r="D93" s="54">
        <v>10764</v>
      </c>
      <c r="E93" s="55">
        <v>880000</v>
      </c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55"/>
      <c r="AN93" s="55">
        <v>880000</v>
      </c>
      <c r="AO93" s="55"/>
      <c r="AP93" s="55"/>
      <c r="AQ93" s="55"/>
      <c r="AR93" s="55"/>
      <c r="AS93" s="55"/>
      <c r="AT93" s="55"/>
      <c r="AU93" s="55"/>
      <c r="AV93" s="55"/>
      <c r="AW93" s="55"/>
      <c r="AX93" s="55"/>
      <c r="AY93" s="55"/>
      <c r="AZ93" s="55"/>
      <c r="BA93" s="55"/>
      <c r="BB93" s="55"/>
      <c r="BC93" s="55"/>
      <c r="BD93" s="55"/>
      <c r="BE93" s="55"/>
      <c r="BF93" s="55"/>
      <c r="BG93" s="55"/>
      <c r="BH93" s="55"/>
      <c r="BI93" s="55"/>
      <c r="BJ93" s="55"/>
      <c r="BK93" s="172"/>
      <c r="BL93" s="55"/>
      <c r="BM93" s="55"/>
      <c r="BN93" s="55"/>
      <c r="BO93" s="55"/>
      <c r="BP93" s="55"/>
      <c r="BQ93" s="55"/>
      <c r="BR93" s="55"/>
      <c r="BS93" s="55"/>
      <c r="BT93" s="55"/>
      <c r="BU93" s="55"/>
      <c r="BV93" s="55"/>
      <c r="BW93" s="55"/>
      <c r="BX93" s="56">
        <f t="shared" si="1"/>
        <v>880000</v>
      </c>
      <c r="BY93" s="55"/>
      <c r="BZ93" s="56"/>
      <c r="CA93" s="56"/>
      <c r="CB93" s="56"/>
      <c r="CC93" s="56"/>
      <c r="CD93" s="56"/>
      <c r="CE93" s="56"/>
      <c r="CF93" s="56"/>
      <c r="CG93" s="56"/>
      <c r="CH93" s="56"/>
      <c r="CI93" s="56"/>
    </row>
    <row r="94" spans="1:87" s="40" customFormat="1" ht="29.45" customHeight="1">
      <c r="A94" s="53">
        <v>46199</v>
      </c>
      <c r="B94" s="54" t="s">
        <v>74</v>
      </c>
      <c r="C94" s="54">
        <v>7898</v>
      </c>
      <c r="D94" s="54">
        <v>10806</v>
      </c>
      <c r="E94" s="55">
        <v>2449000</v>
      </c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55">
        <v>2449000</v>
      </c>
      <c r="AM94" s="55"/>
      <c r="AN94" s="55"/>
      <c r="AO94" s="55"/>
      <c r="AP94" s="55"/>
      <c r="AQ94" s="55"/>
      <c r="AR94" s="55"/>
      <c r="AS94" s="55"/>
      <c r="AT94" s="55"/>
      <c r="AU94" s="55"/>
      <c r="AV94" s="55"/>
      <c r="AW94" s="55"/>
      <c r="AX94" s="55"/>
      <c r="AY94" s="55"/>
      <c r="AZ94" s="55"/>
      <c r="BA94" s="55"/>
      <c r="BB94" s="55"/>
      <c r="BC94" s="55"/>
      <c r="BD94" s="55"/>
      <c r="BE94" s="55"/>
      <c r="BF94" s="55"/>
      <c r="BG94" s="55"/>
      <c r="BH94" s="55"/>
      <c r="BI94" s="55"/>
      <c r="BJ94" s="55"/>
      <c r="BK94" s="172"/>
      <c r="BL94" s="55"/>
      <c r="BM94" s="55"/>
      <c r="BN94" s="55"/>
      <c r="BO94" s="55"/>
      <c r="BP94" s="55"/>
      <c r="BQ94" s="55"/>
      <c r="BR94" s="55"/>
      <c r="BS94" s="55"/>
      <c r="BT94" s="55"/>
      <c r="BU94" s="55"/>
      <c r="BV94" s="55"/>
      <c r="BW94" s="55"/>
      <c r="BX94" s="56">
        <f t="shared" si="1"/>
        <v>2449000</v>
      </c>
      <c r="BY94" s="55"/>
      <c r="BZ94" s="56"/>
      <c r="CA94" s="56"/>
      <c r="CB94" s="56"/>
      <c r="CC94" s="56"/>
      <c r="CD94" s="56"/>
      <c r="CE94" s="56"/>
      <c r="CF94" s="56"/>
      <c r="CG94" s="56"/>
      <c r="CH94" s="56"/>
      <c r="CI94" s="56"/>
    </row>
    <row r="95" spans="1:87" s="40" customFormat="1" ht="44.45" customHeight="1">
      <c r="A95" s="53">
        <v>46202</v>
      </c>
      <c r="B95" s="50" t="s">
        <v>361</v>
      </c>
      <c r="C95" s="54">
        <v>7869</v>
      </c>
      <c r="D95" s="54">
        <v>10767</v>
      </c>
      <c r="E95" s="55">
        <v>4172000</v>
      </c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55"/>
      <c r="AV95" s="55"/>
      <c r="AW95" s="55"/>
      <c r="AX95" s="55"/>
      <c r="AY95" s="55"/>
      <c r="AZ95" s="55"/>
      <c r="BA95" s="55"/>
      <c r="BB95" s="55"/>
      <c r="BC95" s="55"/>
      <c r="BD95" s="55"/>
      <c r="BE95" s="55"/>
      <c r="BF95" s="55">
        <v>4172000</v>
      </c>
      <c r="BG95" s="55"/>
      <c r="BH95" s="55"/>
      <c r="BI95" s="55"/>
      <c r="BJ95" s="55"/>
      <c r="BK95" s="172"/>
      <c r="BL95" s="55"/>
      <c r="BM95" s="55"/>
      <c r="BN95" s="55"/>
      <c r="BO95" s="55"/>
      <c r="BP95" s="55"/>
      <c r="BQ95" s="55"/>
      <c r="BR95" s="55"/>
      <c r="BS95" s="55"/>
      <c r="BT95" s="55"/>
      <c r="BU95" s="55"/>
      <c r="BV95" s="55"/>
      <c r="BW95" s="55"/>
      <c r="BX95" s="56">
        <f t="shared" si="1"/>
        <v>4172000</v>
      </c>
      <c r="BY95" s="55"/>
      <c r="BZ95" s="56"/>
      <c r="CA95" s="56"/>
      <c r="CB95" s="56"/>
      <c r="CC95" s="56"/>
      <c r="CD95" s="56"/>
      <c r="CE95" s="56"/>
      <c r="CF95" s="56"/>
      <c r="CG95" s="56"/>
      <c r="CH95" s="56"/>
      <c r="CI95" s="56"/>
    </row>
    <row r="96" spans="1:87" s="40" customFormat="1" ht="29.45" customHeight="1">
      <c r="A96" s="53">
        <v>46203</v>
      </c>
      <c r="B96" s="54" t="s">
        <v>238</v>
      </c>
      <c r="C96" s="54">
        <v>7903</v>
      </c>
      <c r="D96" s="54">
        <v>10816</v>
      </c>
      <c r="E96" s="55">
        <v>780000</v>
      </c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>
        <v>780000</v>
      </c>
      <c r="AJ96" s="55"/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55"/>
      <c r="AV96" s="55"/>
      <c r="AW96" s="55"/>
      <c r="AX96" s="55"/>
      <c r="AY96" s="55"/>
      <c r="AZ96" s="55"/>
      <c r="BA96" s="55"/>
      <c r="BB96" s="55"/>
      <c r="BC96" s="55"/>
      <c r="BD96" s="55"/>
      <c r="BE96" s="55"/>
      <c r="BF96" s="55"/>
      <c r="BG96" s="55"/>
      <c r="BH96" s="55"/>
      <c r="BI96" s="55"/>
      <c r="BJ96" s="55"/>
      <c r="BK96" s="172"/>
      <c r="BL96" s="55"/>
      <c r="BM96" s="55"/>
      <c r="BN96" s="55"/>
      <c r="BO96" s="55"/>
      <c r="BP96" s="55"/>
      <c r="BQ96" s="55"/>
      <c r="BR96" s="55"/>
      <c r="BS96" s="55"/>
      <c r="BT96" s="55"/>
      <c r="BU96" s="55"/>
      <c r="BV96" s="55"/>
      <c r="BW96" s="55"/>
      <c r="BX96" s="56">
        <f t="shared" si="1"/>
        <v>780000</v>
      </c>
      <c r="BY96" s="55"/>
      <c r="BZ96" s="56"/>
      <c r="CA96" s="56"/>
      <c r="CB96" s="56"/>
      <c r="CC96" s="56"/>
      <c r="CD96" s="56"/>
      <c r="CE96" s="56"/>
      <c r="CF96" s="56"/>
      <c r="CG96" s="56"/>
      <c r="CH96" s="56"/>
      <c r="CI96" s="56"/>
    </row>
    <row r="97" spans="1:87" s="40" customFormat="1" ht="29.45" customHeight="1">
      <c r="A97" s="53">
        <v>46203</v>
      </c>
      <c r="B97" s="54" t="s">
        <v>338</v>
      </c>
      <c r="C97" s="54">
        <v>7910</v>
      </c>
      <c r="D97" s="54">
        <v>10826</v>
      </c>
      <c r="E97" s="55">
        <v>230000</v>
      </c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5"/>
      <c r="AW97" s="55"/>
      <c r="AX97" s="55"/>
      <c r="AY97" s="55"/>
      <c r="AZ97" s="55"/>
      <c r="BA97" s="55"/>
      <c r="BB97" s="55"/>
      <c r="BC97" s="55"/>
      <c r="BD97" s="55"/>
      <c r="BE97" s="55">
        <v>230000</v>
      </c>
      <c r="BF97" s="55"/>
      <c r="BG97" s="55"/>
      <c r="BH97" s="55"/>
      <c r="BI97" s="55"/>
      <c r="BJ97" s="55"/>
      <c r="BK97" s="172"/>
      <c r="BL97" s="55"/>
      <c r="BM97" s="55"/>
      <c r="BN97" s="55"/>
      <c r="BO97" s="55"/>
      <c r="BP97" s="55"/>
      <c r="BQ97" s="55"/>
      <c r="BR97" s="55"/>
      <c r="BS97" s="55"/>
      <c r="BT97" s="55"/>
      <c r="BU97" s="55"/>
      <c r="BV97" s="55"/>
      <c r="BW97" s="55"/>
      <c r="BX97" s="56">
        <f t="shared" si="1"/>
        <v>230000</v>
      </c>
      <c r="BY97" s="55"/>
      <c r="BZ97" s="56"/>
      <c r="CA97" s="56"/>
      <c r="CB97" s="56"/>
      <c r="CC97" s="56"/>
      <c r="CD97" s="56"/>
      <c r="CE97" s="56"/>
      <c r="CF97" s="56"/>
      <c r="CG97" s="56"/>
      <c r="CH97" s="56"/>
      <c r="CI97" s="56"/>
    </row>
    <row r="98" spans="1:87" s="40" customFormat="1" ht="29.45" customHeight="1">
      <c r="A98" s="53">
        <v>46203</v>
      </c>
      <c r="B98" s="54" t="s">
        <v>357</v>
      </c>
      <c r="C98" s="54">
        <v>7907</v>
      </c>
      <c r="D98" s="54">
        <v>10827</v>
      </c>
      <c r="E98" s="55">
        <v>274000</v>
      </c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>
        <v>274000</v>
      </c>
      <c r="AM98" s="55"/>
      <c r="AN98" s="55"/>
      <c r="AO98" s="55"/>
      <c r="AP98" s="55"/>
      <c r="AQ98" s="55"/>
      <c r="AR98" s="55"/>
      <c r="AS98" s="55"/>
      <c r="AT98" s="55"/>
      <c r="AU98" s="55"/>
      <c r="AV98" s="55"/>
      <c r="AW98" s="55"/>
      <c r="AX98" s="55"/>
      <c r="AY98" s="55"/>
      <c r="AZ98" s="55"/>
      <c r="BA98" s="55"/>
      <c r="BB98" s="55"/>
      <c r="BC98" s="55"/>
      <c r="BD98" s="55"/>
      <c r="BE98" s="55"/>
      <c r="BF98" s="55"/>
      <c r="BG98" s="55"/>
      <c r="BH98" s="55"/>
      <c r="BI98" s="55"/>
      <c r="BJ98" s="55"/>
      <c r="BK98" s="172"/>
      <c r="BL98" s="55"/>
      <c r="BM98" s="55"/>
      <c r="BN98" s="55"/>
      <c r="BO98" s="55"/>
      <c r="BP98" s="55"/>
      <c r="BQ98" s="55"/>
      <c r="BR98" s="55"/>
      <c r="BS98" s="55"/>
      <c r="BT98" s="55"/>
      <c r="BU98" s="55"/>
      <c r="BV98" s="55"/>
      <c r="BW98" s="55"/>
      <c r="BX98" s="56">
        <f t="shared" si="1"/>
        <v>274000</v>
      </c>
      <c r="BY98" s="55"/>
      <c r="BZ98" s="56"/>
      <c r="CA98" s="56"/>
      <c r="CB98" s="56"/>
      <c r="CC98" s="56"/>
      <c r="CD98" s="56"/>
      <c r="CE98" s="56"/>
      <c r="CF98" s="56"/>
      <c r="CG98" s="56"/>
      <c r="CH98" s="56"/>
      <c r="CI98" s="56"/>
    </row>
    <row r="99" spans="1:87" s="40" customFormat="1" ht="29.45" customHeight="1">
      <c r="A99" s="53">
        <v>46179</v>
      </c>
      <c r="B99" s="54" t="s">
        <v>48</v>
      </c>
      <c r="C99" s="54">
        <v>7769</v>
      </c>
      <c r="D99" s="54">
        <v>10621</v>
      </c>
      <c r="E99" s="55">
        <v>2346996</v>
      </c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>
        <f>2346996</f>
        <v>2346996</v>
      </c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5"/>
      <c r="AW99" s="55"/>
      <c r="AX99" s="55"/>
      <c r="AY99" s="55"/>
      <c r="AZ99" s="55"/>
      <c r="BA99" s="55"/>
      <c r="BB99" s="55"/>
      <c r="BC99" s="55"/>
      <c r="BD99" s="55"/>
      <c r="BE99" s="55"/>
      <c r="BF99" s="55"/>
      <c r="BG99" s="55"/>
      <c r="BH99" s="55"/>
      <c r="BI99" s="55"/>
      <c r="BJ99" s="55"/>
      <c r="BK99" s="172"/>
      <c r="BL99" s="55"/>
      <c r="BM99" s="55"/>
      <c r="BN99" s="55"/>
      <c r="BO99" s="55"/>
      <c r="BP99" s="55"/>
      <c r="BQ99" s="55"/>
      <c r="BR99" s="55"/>
      <c r="BS99" s="55"/>
      <c r="BT99" s="55"/>
      <c r="BU99" s="55"/>
      <c r="BV99" s="55"/>
      <c r="BW99" s="55"/>
      <c r="BX99" s="56">
        <f t="shared" si="1"/>
        <v>2346996</v>
      </c>
      <c r="BY99" s="55"/>
      <c r="BZ99" s="56"/>
      <c r="CA99" s="56"/>
      <c r="CB99" s="56"/>
      <c r="CC99" s="56"/>
      <c r="CD99" s="56"/>
      <c r="CE99" s="56"/>
      <c r="CF99" s="56"/>
      <c r="CG99" s="56"/>
      <c r="CH99" s="56"/>
      <c r="CI99" s="56"/>
    </row>
    <row r="100" spans="1:87" s="40" customFormat="1" ht="29.45" customHeight="1">
      <c r="A100" s="53">
        <v>46179</v>
      </c>
      <c r="B100" s="54" t="s">
        <v>50</v>
      </c>
      <c r="C100" s="54">
        <v>7755</v>
      </c>
      <c r="D100" s="54">
        <v>9981</v>
      </c>
      <c r="E100" s="55">
        <v>2500000</v>
      </c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>
        <v>2500000</v>
      </c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5"/>
      <c r="AW100" s="55"/>
      <c r="AX100" s="55"/>
      <c r="AY100" s="55"/>
      <c r="AZ100" s="55"/>
      <c r="BA100" s="55"/>
      <c r="BB100" s="55"/>
      <c r="BC100" s="55"/>
      <c r="BD100" s="55"/>
      <c r="BE100" s="55"/>
      <c r="BF100" s="55"/>
      <c r="BG100" s="55"/>
      <c r="BH100" s="55"/>
      <c r="BI100" s="55"/>
      <c r="BJ100" s="55"/>
      <c r="BK100" s="172"/>
      <c r="BL100" s="55"/>
      <c r="BM100" s="55"/>
      <c r="BN100" s="55"/>
      <c r="BO100" s="55"/>
      <c r="BP100" s="55"/>
      <c r="BQ100" s="55"/>
      <c r="BR100" s="55"/>
      <c r="BS100" s="55"/>
      <c r="BT100" s="55"/>
      <c r="BU100" s="55"/>
      <c r="BV100" s="55"/>
      <c r="BW100" s="55"/>
      <c r="BX100" s="56">
        <f t="shared" si="1"/>
        <v>2500000</v>
      </c>
      <c r="BY100" s="55"/>
      <c r="BZ100" s="56"/>
      <c r="CA100" s="56"/>
      <c r="CB100" s="56"/>
      <c r="CC100" s="56"/>
      <c r="CD100" s="56"/>
      <c r="CE100" s="56"/>
      <c r="CF100" s="56"/>
      <c r="CG100" s="56"/>
      <c r="CH100" s="56"/>
      <c r="CI100" s="56"/>
    </row>
    <row r="101" spans="1:87" s="40" customFormat="1" ht="29.45" customHeight="1">
      <c r="A101" s="53">
        <v>46177</v>
      </c>
      <c r="B101" s="50" t="s">
        <v>362</v>
      </c>
      <c r="C101" s="54">
        <v>7763</v>
      </c>
      <c r="D101" s="54">
        <v>9744</v>
      </c>
      <c r="E101" s="55">
        <v>115244000</v>
      </c>
      <c r="F101" s="55">
        <v>7356000</v>
      </c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>
        <v>122600000</v>
      </c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5"/>
      <c r="AW101" s="55">
        <v>0</v>
      </c>
      <c r="AX101" s="55"/>
      <c r="AY101" s="55"/>
      <c r="AZ101" s="55"/>
      <c r="BA101" s="55"/>
      <c r="BB101" s="55"/>
      <c r="BC101" s="55"/>
      <c r="BD101" s="55"/>
      <c r="BE101" s="55"/>
      <c r="BF101" s="55"/>
      <c r="BG101" s="55"/>
      <c r="BH101" s="55"/>
      <c r="BI101" s="55"/>
      <c r="BJ101" s="55"/>
      <c r="BK101" s="172"/>
      <c r="BL101" s="55"/>
      <c r="BM101" s="55"/>
      <c r="BN101" s="55"/>
      <c r="BO101" s="55"/>
      <c r="BP101" s="55"/>
      <c r="BQ101" s="55"/>
      <c r="BR101" s="55"/>
      <c r="BS101" s="55"/>
      <c r="BT101" s="55"/>
      <c r="BU101" s="55"/>
      <c r="BV101" s="55"/>
      <c r="BW101" s="55"/>
      <c r="BX101" s="56">
        <f t="shared" si="1"/>
        <v>129956000</v>
      </c>
      <c r="BY101" s="55"/>
      <c r="BZ101" s="56"/>
      <c r="CA101" s="56"/>
      <c r="CB101" s="56"/>
      <c r="CC101" s="56"/>
      <c r="CD101" s="56"/>
      <c r="CE101" s="56"/>
      <c r="CF101" s="56"/>
      <c r="CG101" s="56"/>
      <c r="CH101" s="56"/>
      <c r="CI101" s="56"/>
    </row>
    <row r="102" spans="1:87" s="192" customFormat="1" ht="29.45" customHeight="1">
      <c r="A102" s="207">
        <v>46177</v>
      </c>
      <c r="B102" s="208" t="s">
        <v>172</v>
      </c>
      <c r="C102" s="208">
        <v>7764</v>
      </c>
      <c r="D102" s="208">
        <v>9745</v>
      </c>
      <c r="E102" s="209">
        <v>80635020</v>
      </c>
      <c r="F102" s="209">
        <f>5146980</f>
        <v>5146980</v>
      </c>
      <c r="G102" s="209"/>
      <c r="H102" s="209"/>
      <c r="I102" s="209"/>
      <c r="J102" s="209"/>
      <c r="K102" s="209"/>
      <c r="L102" s="209"/>
      <c r="M102" s="209"/>
      <c r="N102" s="209"/>
      <c r="O102" s="209"/>
      <c r="P102" s="209"/>
      <c r="Q102" s="209"/>
      <c r="R102" s="209"/>
      <c r="S102" s="209"/>
      <c r="T102" s="209"/>
      <c r="U102" s="209"/>
      <c r="V102" s="209"/>
      <c r="W102" s="209"/>
      <c r="X102" s="209">
        <v>0</v>
      </c>
      <c r="Y102" s="209"/>
      <c r="Z102" s="209"/>
      <c r="AA102" s="209">
        <f>105000+0</f>
        <v>105000</v>
      </c>
      <c r="AB102" s="209">
        <f>420000+4376000+490000+1672000</f>
        <v>6958000</v>
      </c>
      <c r="AC102" s="209">
        <f>6750000+6750000</f>
        <v>13500000</v>
      </c>
      <c r="AD102" s="209">
        <f>9000000+9720000</f>
        <v>18720000</v>
      </c>
      <c r="AE102" s="209">
        <f>23250000+23250000</f>
        <v>46500000</v>
      </c>
      <c r="AF102" s="209"/>
      <c r="AG102" s="209"/>
      <c r="AH102" s="209"/>
      <c r="AI102" s="209"/>
      <c r="AJ102" s="209"/>
      <c r="AK102" s="209"/>
      <c r="AL102" s="209"/>
      <c r="AM102" s="209"/>
      <c r="AN102" s="209"/>
      <c r="AO102" s="209"/>
      <c r="AP102" s="209"/>
      <c r="AQ102" s="209"/>
      <c r="AR102" s="209"/>
      <c r="AS102" s="209"/>
      <c r="AT102" s="209"/>
      <c r="AU102" s="209"/>
      <c r="AV102" s="209"/>
      <c r="AW102" s="209"/>
      <c r="AX102" s="209"/>
      <c r="AY102" s="209"/>
      <c r="AZ102" s="209"/>
      <c r="BA102" s="209"/>
      <c r="BB102" s="209"/>
      <c r="BC102" s="209"/>
      <c r="BD102" s="209"/>
      <c r="BE102" s="209"/>
      <c r="BF102" s="209"/>
      <c r="BG102" s="209"/>
      <c r="BH102" s="209"/>
      <c r="BI102" s="209"/>
      <c r="BJ102" s="209"/>
      <c r="BK102" s="210"/>
      <c r="BL102" s="209"/>
      <c r="BM102" s="209"/>
      <c r="BN102" s="209"/>
      <c r="BO102" s="209"/>
      <c r="BP102" s="209"/>
      <c r="BQ102" s="209"/>
      <c r="BR102" s="209"/>
      <c r="BS102" s="209"/>
      <c r="BT102" s="209"/>
      <c r="BU102" s="209"/>
      <c r="BV102" s="209"/>
      <c r="BW102" s="209"/>
      <c r="BX102" s="56">
        <f t="shared" si="1"/>
        <v>90929980</v>
      </c>
      <c r="BY102" s="209"/>
      <c r="BZ102" s="211"/>
      <c r="CA102" s="211"/>
      <c r="CB102" s="211"/>
      <c r="CC102" s="211"/>
      <c r="CD102" s="211"/>
      <c r="CE102" s="211"/>
      <c r="CF102" s="211"/>
      <c r="CG102" s="211"/>
      <c r="CH102" s="211"/>
      <c r="CI102" s="211"/>
    </row>
    <row r="103" spans="1:87" s="40" customFormat="1" ht="29.45" customHeight="1">
      <c r="A103" s="53">
        <v>46185</v>
      </c>
      <c r="B103" s="54" t="s">
        <v>121</v>
      </c>
      <c r="C103" s="54">
        <v>7765</v>
      </c>
      <c r="D103" s="54">
        <v>9743</v>
      </c>
      <c r="E103" s="55">
        <v>1504000</v>
      </c>
      <c r="F103" s="55">
        <v>96000</v>
      </c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5"/>
      <c r="AW103" s="55"/>
      <c r="AX103" s="55"/>
      <c r="AY103" s="55"/>
      <c r="AZ103" s="55"/>
      <c r="BA103" s="55"/>
      <c r="BB103" s="55"/>
      <c r="BC103" s="55"/>
      <c r="BD103" s="55"/>
      <c r="BE103" s="55"/>
      <c r="BF103" s="55"/>
      <c r="BG103" s="55"/>
      <c r="BH103" s="55"/>
      <c r="BI103" s="55"/>
      <c r="BJ103" s="55"/>
      <c r="BK103" s="172"/>
      <c r="BL103" s="55"/>
      <c r="BM103" s="55"/>
      <c r="BN103" s="55"/>
      <c r="BO103" s="55"/>
      <c r="BP103" s="55">
        <v>1504000</v>
      </c>
      <c r="BQ103" s="55"/>
      <c r="BR103" s="55"/>
      <c r="BS103" s="55"/>
      <c r="BT103" s="55"/>
      <c r="BU103" s="55"/>
      <c r="BV103" s="55"/>
      <c r="BW103" s="55"/>
      <c r="BX103" s="56">
        <f t="shared" si="1"/>
        <v>1600000</v>
      </c>
      <c r="BY103" s="55"/>
      <c r="BZ103" s="56"/>
      <c r="CA103" s="56"/>
      <c r="CB103" s="56"/>
      <c r="CC103" s="56"/>
      <c r="CD103" s="56"/>
      <c r="CE103" s="56"/>
      <c r="CF103" s="56"/>
      <c r="CG103" s="56"/>
      <c r="CH103" s="56"/>
      <c r="CI103" s="56"/>
    </row>
    <row r="104" spans="1:87" s="40" customFormat="1" ht="29.45" customHeight="1">
      <c r="A104" s="53">
        <v>46185</v>
      </c>
      <c r="B104" s="50" t="s">
        <v>363</v>
      </c>
      <c r="C104" s="54">
        <v>7770</v>
      </c>
      <c r="D104" s="54"/>
      <c r="E104" s="55">
        <v>2750000</v>
      </c>
      <c r="F104" s="55"/>
      <c r="G104" s="55"/>
      <c r="H104" s="55"/>
      <c r="I104" s="55"/>
      <c r="J104" s="55"/>
      <c r="K104" s="55"/>
      <c r="L104" s="55">
        <v>2750000</v>
      </c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5"/>
      <c r="AW104" s="55"/>
      <c r="AX104" s="55"/>
      <c r="AY104" s="55"/>
      <c r="AZ104" s="55"/>
      <c r="BA104" s="55"/>
      <c r="BB104" s="55"/>
      <c r="BC104" s="55"/>
      <c r="BD104" s="55"/>
      <c r="BE104" s="55"/>
      <c r="BF104" s="55"/>
      <c r="BG104" s="55"/>
      <c r="BH104" s="55"/>
      <c r="BI104" s="55"/>
      <c r="BJ104" s="55"/>
      <c r="BK104" s="172"/>
      <c r="BL104" s="55"/>
      <c r="BM104" s="55"/>
      <c r="BN104" s="55"/>
      <c r="BO104" s="55"/>
      <c r="BP104" s="55"/>
      <c r="BQ104" s="55"/>
      <c r="BR104" s="55"/>
      <c r="BS104" s="55"/>
      <c r="BT104" s="55"/>
      <c r="BU104" s="55"/>
      <c r="BV104" s="55"/>
      <c r="BW104" s="55"/>
      <c r="BX104" s="56">
        <f t="shared" si="1"/>
        <v>2750000</v>
      </c>
      <c r="BY104" s="55"/>
      <c r="BZ104" s="56"/>
      <c r="CA104" s="56"/>
      <c r="CB104" s="56"/>
      <c r="CC104" s="56"/>
      <c r="CD104" s="56"/>
      <c r="CE104" s="56"/>
      <c r="CF104" s="56"/>
      <c r="CG104" s="56"/>
      <c r="CH104" s="56"/>
      <c r="CI104" s="56"/>
    </row>
    <row r="105" spans="1:87" s="40" customFormat="1" ht="29.45" customHeight="1">
      <c r="A105" s="53">
        <v>46184</v>
      </c>
      <c r="B105" s="54" t="s">
        <v>364</v>
      </c>
      <c r="C105" s="54">
        <v>7762</v>
      </c>
      <c r="D105" s="54">
        <v>9746</v>
      </c>
      <c r="E105" s="55">
        <v>6815630</v>
      </c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>
        <f>6815630</f>
        <v>6815630</v>
      </c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55"/>
      <c r="BB105" s="55"/>
      <c r="BC105" s="55"/>
      <c r="BD105" s="55"/>
      <c r="BE105" s="55"/>
      <c r="BF105" s="55"/>
      <c r="BG105" s="55"/>
      <c r="BH105" s="55"/>
      <c r="BI105" s="55"/>
      <c r="BJ105" s="55"/>
      <c r="BK105" s="172"/>
      <c r="BL105" s="55"/>
      <c r="BM105" s="55"/>
      <c r="BN105" s="55"/>
      <c r="BO105" s="55"/>
      <c r="BP105" s="55"/>
      <c r="BQ105" s="55"/>
      <c r="BR105" s="55"/>
      <c r="BS105" s="55"/>
      <c r="BT105" s="55"/>
      <c r="BU105" s="55"/>
      <c r="BV105" s="55"/>
      <c r="BW105" s="55"/>
      <c r="BX105" s="56">
        <f t="shared" si="1"/>
        <v>6815630</v>
      </c>
      <c r="BY105" s="55"/>
      <c r="BZ105" s="56"/>
      <c r="CA105" s="56"/>
      <c r="CB105" s="56"/>
      <c r="CC105" s="56"/>
      <c r="CD105" s="56"/>
      <c r="CE105" s="56"/>
      <c r="CF105" s="56"/>
      <c r="CG105" s="56"/>
      <c r="CH105" s="56"/>
      <c r="CI105" s="56"/>
    </row>
    <row r="106" spans="1:87" s="40" customFormat="1" ht="29.45" customHeight="1">
      <c r="A106" s="53">
        <v>46185</v>
      </c>
      <c r="B106" s="50" t="s">
        <v>365</v>
      </c>
      <c r="C106" s="54">
        <v>7627</v>
      </c>
      <c r="D106" s="54"/>
      <c r="E106" s="55">
        <v>15000000</v>
      </c>
      <c r="F106" s="55"/>
      <c r="G106" s="55"/>
      <c r="H106" s="55"/>
      <c r="I106" s="55"/>
      <c r="J106" s="55">
        <v>15000000</v>
      </c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5"/>
      <c r="AW106" s="55"/>
      <c r="AX106" s="55"/>
      <c r="AY106" s="55"/>
      <c r="AZ106" s="55"/>
      <c r="BA106" s="55"/>
      <c r="BB106" s="55"/>
      <c r="BC106" s="55"/>
      <c r="BD106" s="55"/>
      <c r="BE106" s="55"/>
      <c r="BF106" s="55"/>
      <c r="BG106" s="55"/>
      <c r="BH106" s="55"/>
      <c r="BI106" s="55"/>
      <c r="BJ106" s="55"/>
      <c r="BK106" s="172"/>
      <c r="BL106" s="55"/>
      <c r="BM106" s="55"/>
      <c r="BN106" s="55"/>
      <c r="BO106" s="55"/>
      <c r="BP106" s="55"/>
      <c r="BQ106" s="55"/>
      <c r="BR106" s="55"/>
      <c r="BS106" s="55"/>
      <c r="BT106" s="55"/>
      <c r="BU106" s="55"/>
      <c r="BV106" s="55"/>
      <c r="BW106" s="55"/>
      <c r="BX106" s="56">
        <f t="shared" si="1"/>
        <v>15000000</v>
      </c>
      <c r="BY106" s="55"/>
      <c r="BZ106" s="56"/>
      <c r="CA106" s="56"/>
      <c r="CB106" s="56"/>
      <c r="CC106" s="56"/>
      <c r="CD106" s="56"/>
      <c r="CE106" s="56"/>
      <c r="CF106" s="56"/>
      <c r="CG106" s="56"/>
      <c r="CH106" s="56"/>
      <c r="CI106" s="56"/>
    </row>
    <row r="107" spans="1:87" s="40" customFormat="1" ht="29.45" customHeight="1">
      <c r="A107" s="53">
        <v>46185</v>
      </c>
      <c r="B107" s="50" t="s">
        <v>366</v>
      </c>
      <c r="C107" s="54">
        <v>7813</v>
      </c>
      <c r="D107" s="54">
        <v>9750</v>
      </c>
      <c r="E107" s="55">
        <v>10000000</v>
      </c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>
        <v>10000000</v>
      </c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5"/>
      <c r="AW107" s="55"/>
      <c r="AX107" s="55"/>
      <c r="AY107" s="55"/>
      <c r="AZ107" s="55"/>
      <c r="BA107" s="55"/>
      <c r="BB107" s="55"/>
      <c r="BC107" s="55"/>
      <c r="BD107" s="55"/>
      <c r="BE107" s="55"/>
      <c r="BF107" s="55"/>
      <c r="BG107" s="55"/>
      <c r="BH107" s="55"/>
      <c r="BI107" s="55"/>
      <c r="BJ107" s="55"/>
      <c r="BK107" s="172"/>
      <c r="BL107" s="55"/>
      <c r="BM107" s="55"/>
      <c r="BN107" s="55"/>
      <c r="BO107" s="55"/>
      <c r="BP107" s="55"/>
      <c r="BQ107" s="55"/>
      <c r="BR107" s="55"/>
      <c r="BS107" s="55"/>
      <c r="BT107" s="55"/>
      <c r="BU107" s="55"/>
      <c r="BV107" s="55"/>
      <c r="BW107" s="55"/>
      <c r="BX107" s="56">
        <f t="shared" si="1"/>
        <v>10000000</v>
      </c>
      <c r="BY107" s="55"/>
      <c r="BZ107" s="56"/>
      <c r="CA107" s="56"/>
      <c r="CB107" s="56"/>
      <c r="CC107" s="56"/>
      <c r="CD107" s="56"/>
      <c r="CE107" s="56"/>
      <c r="CF107" s="56"/>
      <c r="CG107" s="56"/>
      <c r="CH107" s="56"/>
      <c r="CI107" s="56"/>
    </row>
    <row r="108" spans="1:87" s="40" customFormat="1" ht="29.45" customHeight="1">
      <c r="A108" s="53">
        <v>46186</v>
      </c>
      <c r="B108" s="50" t="s">
        <v>366</v>
      </c>
      <c r="C108" s="54">
        <v>7418</v>
      </c>
      <c r="D108" s="54">
        <v>9750</v>
      </c>
      <c r="E108" s="55">
        <v>5000000</v>
      </c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>
        <v>5000000</v>
      </c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5"/>
      <c r="AW108" s="55"/>
      <c r="AX108" s="55"/>
      <c r="AY108" s="55"/>
      <c r="AZ108" s="55"/>
      <c r="BA108" s="55"/>
      <c r="BB108" s="55"/>
      <c r="BC108" s="55"/>
      <c r="BD108" s="55"/>
      <c r="BE108" s="55"/>
      <c r="BF108" s="55"/>
      <c r="BG108" s="55"/>
      <c r="BH108" s="55"/>
      <c r="BI108" s="55"/>
      <c r="BJ108" s="55"/>
      <c r="BK108" s="172"/>
      <c r="BL108" s="55"/>
      <c r="BM108" s="55"/>
      <c r="BN108" s="55"/>
      <c r="BO108" s="55"/>
      <c r="BP108" s="55"/>
      <c r="BQ108" s="55"/>
      <c r="BR108" s="55"/>
      <c r="BS108" s="55"/>
      <c r="BT108" s="55"/>
      <c r="BU108" s="55"/>
      <c r="BV108" s="55"/>
      <c r="BW108" s="55"/>
      <c r="BX108" s="56">
        <f t="shared" si="1"/>
        <v>5000000</v>
      </c>
      <c r="BY108" s="55"/>
      <c r="BZ108" s="56"/>
      <c r="CA108" s="56"/>
      <c r="CB108" s="56"/>
      <c r="CC108" s="56"/>
      <c r="CD108" s="56"/>
      <c r="CE108" s="56"/>
      <c r="CF108" s="56"/>
      <c r="CG108" s="56"/>
      <c r="CH108" s="56"/>
      <c r="CI108" s="56"/>
    </row>
    <row r="109" spans="1:87" s="40" customFormat="1" ht="29.45" customHeight="1">
      <c r="A109" s="53">
        <v>46190</v>
      </c>
      <c r="B109" s="54" t="s">
        <v>367</v>
      </c>
      <c r="C109" s="54">
        <v>7783</v>
      </c>
      <c r="D109" s="54">
        <v>10675</v>
      </c>
      <c r="E109" s="55">
        <v>3808000</v>
      </c>
      <c r="F109" s="55">
        <v>612000</v>
      </c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>
        <v>3196000</v>
      </c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5"/>
      <c r="AW109" s="55"/>
      <c r="AX109" s="55"/>
      <c r="AY109" s="55"/>
      <c r="AZ109" s="55"/>
      <c r="BA109" s="55"/>
      <c r="BB109" s="55"/>
      <c r="BC109" s="55"/>
      <c r="BD109" s="55"/>
      <c r="BE109" s="55"/>
      <c r="BF109" s="55"/>
      <c r="BG109" s="55"/>
      <c r="BH109" s="55"/>
      <c r="BI109" s="55"/>
      <c r="BJ109" s="55"/>
      <c r="BK109" s="172"/>
      <c r="BL109" s="55"/>
      <c r="BM109" s="55"/>
      <c r="BN109" s="55"/>
      <c r="BO109" s="55"/>
      <c r="BP109" s="55"/>
      <c r="BQ109" s="55"/>
      <c r="BR109" s="55"/>
      <c r="BS109" s="55"/>
      <c r="BT109" s="55"/>
      <c r="BU109" s="55"/>
      <c r="BV109" s="55"/>
      <c r="BW109" s="55"/>
      <c r="BX109" s="56">
        <f t="shared" si="1"/>
        <v>3808000</v>
      </c>
      <c r="BY109" s="55"/>
      <c r="BZ109" s="56"/>
      <c r="CA109" s="56"/>
      <c r="CB109" s="56"/>
      <c r="CC109" s="56"/>
      <c r="CD109" s="56"/>
      <c r="CE109" s="56"/>
      <c r="CF109" s="56"/>
      <c r="CG109" s="56"/>
      <c r="CH109" s="56"/>
      <c r="CI109" s="56"/>
    </row>
    <row r="110" spans="1:87" s="40" customFormat="1" ht="29.45" customHeight="1">
      <c r="A110" s="53">
        <v>46190</v>
      </c>
      <c r="B110" s="54" t="s">
        <v>367</v>
      </c>
      <c r="C110" s="54">
        <v>7823</v>
      </c>
      <c r="D110" s="54">
        <v>10721</v>
      </c>
      <c r="E110" s="55">
        <v>3046400</v>
      </c>
      <c r="F110" s="55">
        <v>192576</v>
      </c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>
        <v>3046400</v>
      </c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5"/>
      <c r="AW110" s="55"/>
      <c r="AX110" s="55"/>
      <c r="AY110" s="55"/>
      <c r="AZ110" s="55"/>
      <c r="BA110" s="55"/>
      <c r="BB110" s="55"/>
      <c r="BC110" s="55"/>
      <c r="BD110" s="55"/>
      <c r="BE110" s="55"/>
      <c r="BF110" s="55"/>
      <c r="BG110" s="55"/>
      <c r="BH110" s="55"/>
      <c r="BI110" s="55"/>
      <c r="BJ110" s="55"/>
      <c r="BK110" s="172"/>
      <c r="BL110" s="55"/>
      <c r="BM110" s="55"/>
      <c r="BN110" s="55"/>
      <c r="BO110" s="55"/>
      <c r="BP110" s="55"/>
      <c r="BQ110" s="55"/>
      <c r="BR110" s="55"/>
      <c r="BS110" s="55"/>
      <c r="BT110" s="55"/>
      <c r="BU110" s="55"/>
      <c r="BV110" s="55"/>
      <c r="BW110" s="55"/>
      <c r="BX110" s="56">
        <f t="shared" si="1"/>
        <v>3238976</v>
      </c>
      <c r="BY110" s="55"/>
      <c r="BZ110" s="56"/>
      <c r="CA110" s="56"/>
      <c r="CB110" s="56"/>
      <c r="CC110" s="56"/>
      <c r="CD110" s="56"/>
      <c r="CE110" s="56"/>
      <c r="CF110" s="56"/>
      <c r="CG110" s="56"/>
      <c r="CH110" s="56"/>
      <c r="CI110" s="56"/>
    </row>
    <row r="111" spans="1:87" s="40" customFormat="1" ht="29.45" customHeight="1">
      <c r="A111" s="53">
        <v>46186</v>
      </c>
      <c r="B111" s="54" t="s">
        <v>362</v>
      </c>
      <c r="C111" s="54">
        <v>7821</v>
      </c>
      <c r="D111" s="54">
        <v>10718</v>
      </c>
      <c r="E111" s="55">
        <v>7303800</v>
      </c>
      <c r="F111" s="55">
        <v>466200</v>
      </c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>
        <v>7303800</v>
      </c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5"/>
      <c r="AW111" s="55"/>
      <c r="AX111" s="55"/>
      <c r="AY111" s="55"/>
      <c r="AZ111" s="55"/>
      <c r="BA111" s="55"/>
      <c r="BB111" s="55"/>
      <c r="BC111" s="55"/>
      <c r="BD111" s="55"/>
      <c r="BE111" s="55"/>
      <c r="BF111" s="55"/>
      <c r="BG111" s="55"/>
      <c r="BH111" s="55"/>
      <c r="BI111" s="55"/>
      <c r="BJ111" s="55"/>
      <c r="BK111" s="172"/>
      <c r="BL111" s="55"/>
      <c r="BM111" s="55"/>
      <c r="BN111" s="55"/>
      <c r="BO111" s="55"/>
      <c r="BP111" s="55"/>
      <c r="BQ111" s="55"/>
      <c r="BR111" s="55"/>
      <c r="BS111" s="55"/>
      <c r="BT111" s="55"/>
      <c r="BU111" s="55"/>
      <c r="BV111" s="55"/>
      <c r="BW111" s="55"/>
      <c r="BX111" s="56">
        <f t="shared" si="1"/>
        <v>7770000</v>
      </c>
      <c r="BY111" s="55"/>
      <c r="BZ111" s="56"/>
      <c r="CA111" s="56"/>
      <c r="CB111" s="56"/>
      <c r="CC111" s="56"/>
      <c r="CD111" s="56"/>
      <c r="CE111" s="56"/>
      <c r="CF111" s="56"/>
      <c r="CG111" s="56"/>
      <c r="CH111" s="56"/>
      <c r="CI111" s="56"/>
    </row>
    <row r="112" spans="1:87" s="40" customFormat="1" ht="29.45" customHeight="1">
      <c r="A112" s="53">
        <v>46191</v>
      </c>
      <c r="B112" s="54" t="s">
        <v>368</v>
      </c>
      <c r="C112" s="54">
        <v>7806</v>
      </c>
      <c r="D112" s="54">
        <v>10662</v>
      </c>
      <c r="E112" s="55">
        <v>4089000</v>
      </c>
      <c r="F112" s="55">
        <v>261000</v>
      </c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>
        <v>4089000</v>
      </c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5"/>
      <c r="AW112" s="55"/>
      <c r="AX112" s="55"/>
      <c r="AY112" s="55"/>
      <c r="AZ112" s="55"/>
      <c r="BA112" s="55"/>
      <c r="BB112" s="55"/>
      <c r="BC112" s="55"/>
      <c r="BD112" s="55"/>
      <c r="BE112" s="55"/>
      <c r="BF112" s="55"/>
      <c r="BG112" s="55"/>
      <c r="BH112" s="55"/>
      <c r="BI112" s="55"/>
      <c r="BJ112" s="55"/>
      <c r="BK112" s="172"/>
      <c r="BL112" s="55"/>
      <c r="BM112" s="55"/>
      <c r="BN112" s="55"/>
      <c r="BO112" s="55"/>
      <c r="BP112" s="55"/>
      <c r="BQ112" s="55"/>
      <c r="BR112" s="55"/>
      <c r="BS112" s="55"/>
      <c r="BT112" s="55"/>
      <c r="BU112" s="55"/>
      <c r="BV112" s="55"/>
      <c r="BW112" s="55"/>
      <c r="BX112" s="56">
        <f t="shared" si="1"/>
        <v>4350000</v>
      </c>
      <c r="BY112" s="55"/>
      <c r="BZ112" s="56"/>
      <c r="CA112" s="56"/>
      <c r="CB112" s="56"/>
      <c r="CC112" s="56"/>
      <c r="CD112" s="56"/>
      <c r="CE112" s="56"/>
      <c r="CF112" s="56"/>
      <c r="CG112" s="56"/>
      <c r="CH112" s="56"/>
      <c r="CI112" s="56"/>
    </row>
    <row r="113" spans="1:87" s="40" customFormat="1" ht="29.45" customHeight="1">
      <c r="A113" s="53">
        <v>46190</v>
      </c>
      <c r="B113" s="54" t="s">
        <v>120</v>
      </c>
      <c r="C113" s="54">
        <v>7804</v>
      </c>
      <c r="D113" s="54">
        <v>10701</v>
      </c>
      <c r="E113" s="55">
        <v>20544720</v>
      </c>
      <c r="F113" s="55">
        <v>1079760</v>
      </c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5"/>
      <c r="AW113" s="55"/>
      <c r="AX113" s="55"/>
      <c r="AY113" s="55"/>
      <c r="AZ113" s="55"/>
      <c r="BA113" s="55"/>
      <c r="BB113" s="55"/>
      <c r="BC113" s="55"/>
      <c r="BD113" s="55"/>
      <c r="BE113" s="55"/>
      <c r="BF113" s="55"/>
      <c r="BG113" s="55"/>
      <c r="BH113" s="55"/>
      <c r="BI113" s="55"/>
      <c r="BJ113" s="55"/>
      <c r="BK113" s="172"/>
      <c r="BL113" s="55"/>
      <c r="BM113" s="55"/>
      <c r="BN113" s="55"/>
      <c r="BO113" s="55"/>
      <c r="BP113" s="55"/>
      <c r="BQ113" s="55"/>
      <c r="BR113" s="55"/>
      <c r="BS113" s="55"/>
      <c r="BT113" s="55"/>
      <c r="BU113" s="55"/>
      <c r="BV113" s="55">
        <v>20544720</v>
      </c>
      <c r="BW113" s="55"/>
      <c r="BX113" s="56">
        <f t="shared" si="1"/>
        <v>21624480</v>
      </c>
      <c r="BY113" s="55"/>
      <c r="BZ113" s="56"/>
      <c r="CA113" s="56"/>
      <c r="CB113" s="56"/>
      <c r="CC113" s="56"/>
      <c r="CD113" s="56"/>
      <c r="CE113" s="56"/>
      <c r="CF113" s="56"/>
      <c r="CG113" s="56"/>
      <c r="CH113" s="56"/>
      <c r="CI113" s="56"/>
    </row>
    <row r="114" spans="1:87" s="40" customFormat="1" ht="29.45" customHeight="1">
      <c r="A114" s="53">
        <v>46191</v>
      </c>
      <c r="B114" s="54" t="s">
        <v>369</v>
      </c>
      <c r="C114" s="54">
        <v>7793</v>
      </c>
      <c r="D114" s="54">
        <v>10702</v>
      </c>
      <c r="E114" s="55">
        <v>840000</v>
      </c>
      <c r="F114" s="55">
        <v>0</v>
      </c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5"/>
      <c r="AW114" s="55"/>
      <c r="AX114" s="55"/>
      <c r="AY114" s="55"/>
      <c r="AZ114" s="55"/>
      <c r="BA114" s="55"/>
      <c r="BB114" s="55"/>
      <c r="BC114" s="55"/>
      <c r="BD114" s="55"/>
      <c r="BE114" s="55"/>
      <c r="BF114" s="55"/>
      <c r="BG114" s="55"/>
      <c r="BH114" s="55"/>
      <c r="BI114" s="55"/>
      <c r="BJ114" s="55"/>
      <c r="BK114" s="172"/>
      <c r="BL114" s="55"/>
      <c r="BM114" s="55"/>
      <c r="BN114" s="55"/>
      <c r="BO114" s="55"/>
      <c r="BP114" s="55"/>
      <c r="BQ114" s="55"/>
      <c r="BR114" s="55"/>
      <c r="BS114" s="55"/>
      <c r="BT114" s="55"/>
      <c r="BU114" s="55"/>
      <c r="BV114" s="55">
        <v>840000</v>
      </c>
      <c r="BW114" s="55"/>
      <c r="BX114" s="56">
        <f t="shared" si="1"/>
        <v>840000</v>
      </c>
      <c r="BY114" s="55"/>
      <c r="BZ114" s="56"/>
      <c r="CA114" s="56"/>
      <c r="CB114" s="56"/>
      <c r="CC114" s="56"/>
      <c r="CD114" s="56"/>
      <c r="CE114" s="56"/>
      <c r="CF114" s="56"/>
      <c r="CG114" s="56"/>
      <c r="CH114" s="56"/>
      <c r="CI114" s="56"/>
    </row>
    <row r="115" spans="1:87" s="40" customFormat="1" ht="29.45" customHeight="1">
      <c r="A115" s="53">
        <v>46198</v>
      </c>
      <c r="B115" s="54" t="s">
        <v>370</v>
      </c>
      <c r="C115" s="54" t="s">
        <v>371</v>
      </c>
      <c r="D115" s="54">
        <v>10677</v>
      </c>
      <c r="E115" s="55">
        <v>15980000</v>
      </c>
      <c r="F115" s="55">
        <v>1020000</v>
      </c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>
        <v>15980000</v>
      </c>
      <c r="AP115" s="55"/>
      <c r="AQ115" s="55"/>
      <c r="AR115" s="55"/>
      <c r="AS115" s="55"/>
      <c r="AT115" s="55"/>
      <c r="AU115" s="55"/>
      <c r="AV115" s="55"/>
      <c r="AW115" s="55"/>
      <c r="AX115" s="55"/>
      <c r="AY115" s="55"/>
      <c r="AZ115" s="55"/>
      <c r="BA115" s="55"/>
      <c r="BB115" s="55"/>
      <c r="BC115" s="55"/>
      <c r="BD115" s="55"/>
      <c r="BE115" s="55"/>
      <c r="BF115" s="55"/>
      <c r="BG115" s="55"/>
      <c r="BH115" s="55"/>
      <c r="BI115" s="55"/>
      <c r="BJ115" s="55"/>
      <c r="BK115" s="172"/>
      <c r="BL115" s="55"/>
      <c r="BM115" s="55"/>
      <c r="BN115" s="55"/>
      <c r="BO115" s="55"/>
      <c r="BP115" s="55"/>
      <c r="BQ115" s="55"/>
      <c r="BR115" s="55"/>
      <c r="BS115" s="55"/>
      <c r="BT115" s="55"/>
      <c r="BU115" s="55"/>
      <c r="BV115" s="55"/>
      <c r="BW115" s="55"/>
      <c r="BX115" s="56">
        <f t="shared" si="1"/>
        <v>17000000</v>
      </c>
      <c r="BY115" s="55"/>
      <c r="BZ115" s="56"/>
      <c r="CA115" s="56"/>
      <c r="CB115" s="56"/>
      <c r="CC115" s="56"/>
      <c r="CD115" s="56"/>
      <c r="CE115" s="56"/>
      <c r="CF115" s="56"/>
      <c r="CG115" s="56"/>
      <c r="CH115" s="56"/>
      <c r="CI115" s="56"/>
    </row>
    <row r="116" spans="1:87" s="40" customFormat="1" ht="29.45" customHeight="1">
      <c r="A116" s="53">
        <v>46191</v>
      </c>
      <c r="B116" s="54" t="s">
        <v>372</v>
      </c>
      <c r="C116" s="54">
        <v>7805</v>
      </c>
      <c r="D116" s="54">
        <v>10671</v>
      </c>
      <c r="E116" s="55">
        <v>5924820</v>
      </c>
      <c r="F116" s="55">
        <v>378180</v>
      </c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>
        <v>5924820</v>
      </c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5"/>
      <c r="AW116" s="55"/>
      <c r="AX116" s="55"/>
      <c r="AY116" s="55"/>
      <c r="AZ116" s="55"/>
      <c r="BA116" s="55"/>
      <c r="BB116" s="55"/>
      <c r="BC116" s="55"/>
      <c r="BD116" s="55"/>
      <c r="BE116" s="55"/>
      <c r="BF116" s="55"/>
      <c r="BG116" s="55"/>
      <c r="BH116" s="55"/>
      <c r="BI116" s="55"/>
      <c r="BJ116" s="55"/>
      <c r="BK116" s="172"/>
      <c r="BL116" s="55"/>
      <c r="BM116" s="55"/>
      <c r="BN116" s="55"/>
      <c r="BO116" s="55"/>
      <c r="BP116" s="55"/>
      <c r="BQ116" s="55"/>
      <c r="BR116" s="55"/>
      <c r="BS116" s="55"/>
      <c r="BT116" s="55"/>
      <c r="BU116" s="55"/>
      <c r="BV116" s="55"/>
      <c r="BW116" s="55"/>
      <c r="BX116" s="56">
        <f t="shared" si="1"/>
        <v>6303000</v>
      </c>
      <c r="BY116" s="55"/>
      <c r="BZ116" s="56"/>
      <c r="CA116" s="56"/>
      <c r="CB116" s="56"/>
      <c r="CC116" s="56"/>
      <c r="CD116" s="56"/>
      <c r="CE116" s="56"/>
      <c r="CF116" s="56"/>
      <c r="CG116" s="56"/>
      <c r="CH116" s="56"/>
      <c r="CI116" s="56"/>
    </row>
    <row r="117" spans="1:87" s="40" customFormat="1" ht="29.45" customHeight="1">
      <c r="A117" s="53">
        <v>46192</v>
      </c>
      <c r="B117" s="50" t="s">
        <v>373</v>
      </c>
      <c r="C117" s="54">
        <v>7801</v>
      </c>
      <c r="D117" s="54">
        <v>10659</v>
      </c>
      <c r="E117" s="55">
        <v>7764400</v>
      </c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5"/>
      <c r="AW117" s="55"/>
      <c r="AX117" s="55"/>
      <c r="AY117" s="55"/>
      <c r="AZ117" s="55">
        <v>7764400</v>
      </c>
      <c r="BA117" s="55"/>
      <c r="BB117" s="55"/>
      <c r="BC117" s="55"/>
      <c r="BD117" s="55"/>
      <c r="BE117" s="55"/>
      <c r="BF117" s="55"/>
      <c r="BG117" s="55"/>
      <c r="BH117" s="55"/>
      <c r="BI117" s="55"/>
      <c r="BJ117" s="55"/>
      <c r="BK117" s="172"/>
      <c r="BL117" s="55"/>
      <c r="BM117" s="55"/>
      <c r="BN117" s="55"/>
      <c r="BO117" s="55"/>
      <c r="BP117" s="55"/>
      <c r="BQ117" s="55"/>
      <c r="BR117" s="55"/>
      <c r="BS117" s="55"/>
      <c r="BT117" s="55"/>
      <c r="BU117" s="55"/>
      <c r="BV117" s="55"/>
      <c r="BW117" s="55"/>
      <c r="BX117" s="56">
        <f t="shared" si="1"/>
        <v>7764400</v>
      </c>
      <c r="BY117" s="55"/>
      <c r="BZ117" s="56"/>
      <c r="CA117" s="56"/>
      <c r="CB117" s="56"/>
      <c r="CC117" s="56"/>
      <c r="CD117" s="56"/>
      <c r="CE117" s="56"/>
      <c r="CF117" s="56"/>
      <c r="CG117" s="56"/>
      <c r="CH117" s="56"/>
      <c r="CI117" s="56"/>
    </row>
    <row r="118" spans="1:87" s="40" customFormat="1" ht="29.45" customHeight="1">
      <c r="A118" s="53">
        <v>46191</v>
      </c>
      <c r="B118" s="50" t="s">
        <v>374</v>
      </c>
      <c r="C118" s="54">
        <v>7807</v>
      </c>
      <c r="D118" s="54">
        <v>10661</v>
      </c>
      <c r="E118" s="55">
        <v>1551000</v>
      </c>
      <c r="F118" s="55">
        <v>99000</v>
      </c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>
        <v>1551000</v>
      </c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5"/>
      <c r="AW118" s="55"/>
      <c r="AX118" s="55"/>
      <c r="AY118" s="55"/>
      <c r="AZ118" s="55"/>
      <c r="BA118" s="55"/>
      <c r="BB118" s="55"/>
      <c r="BC118" s="55"/>
      <c r="BD118" s="55"/>
      <c r="BE118" s="55"/>
      <c r="BF118" s="55"/>
      <c r="BG118" s="55"/>
      <c r="BH118" s="55"/>
      <c r="BI118" s="55"/>
      <c r="BJ118" s="55"/>
      <c r="BK118" s="172"/>
      <c r="BL118" s="55"/>
      <c r="BM118" s="55"/>
      <c r="BN118" s="55"/>
      <c r="BO118" s="55"/>
      <c r="BP118" s="55"/>
      <c r="BQ118" s="55"/>
      <c r="BR118" s="55"/>
      <c r="BS118" s="55"/>
      <c r="BT118" s="55"/>
      <c r="BU118" s="55"/>
      <c r="BV118" s="55"/>
      <c r="BW118" s="55"/>
      <c r="BX118" s="56">
        <f t="shared" si="1"/>
        <v>1650000</v>
      </c>
      <c r="BY118" s="55"/>
      <c r="BZ118" s="56"/>
      <c r="CA118" s="56"/>
      <c r="CB118" s="56"/>
      <c r="CC118" s="56"/>
      <c r="CD118" s="56"/>
      <c r="CE118" s="56"/>
      <c r="CF118" s="56"/>
      <c r="CG118" s="56"/>
      <c r="CH118" s="56"/>
      <c r="CI118" s="56"/>
    </row>
    <row r="119" spans="1:87" s="40" customFormat="1" ht="29.45" customHeight="1">
      <c r="A119" s="53">
        <v>46131</v>
      </c>
      <c r="B119" s="50" t="s">
        <v>375</v>
      </c>
      <c r="C119" s="54">
        <v>7831</v>
      </c>
      <c r="D119" s="54">
        <v>10738</v>
      </c>
      <c r="E119" s="55">
        <v>1414700</v>
      </c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AV119" s="55"/>
      <c r="AW119" s="55"/>
      <c r="AX119" s="55"/>
      <c r="AY119" s="55"/>
      <c r="AZ119" s="55"/>
      <c r="BA119" s="55"/>
      <c r="BB119" s="55"/>
      <c r="BC119" s="55"/>
      <c r="BD119" s="55"/>
      <c r="BE119" s="55"/>
      <c r="BF119" s="55"/>
      <c r="BG119" s="55"/>
      <c r="BH119" s="55"/>
      <c r="BI119" s="55"/>
      <c r="BJ119" s="55"/>
      <c r="BK119" s="172"/>
      <c r="BL119" s="55"/>
      <c r="BM119" s="55"/>
      <c r="BN119" s="55"/>
      <c r="BO119" s="55"/>
      <c r="BP119" s="55"/>
      <c r="BQ119" s="55"/>
      <c r="BR119" s="55"/>
      <c r="BS119" s="55"/>
      <c r="BT119" s="55"/>
      <c r="BU119" s="55">
        <v>1414700</v>
      </c>
      <c r="BV119" s="55"/>
      <c r="BW119" s="55"/>
      <c r="BX119" s="56">
        <f t="shared" si="1"/>
        <v>1414700</v>
      </c>
      <c r="BY119" s="55"/>
      <c r="BZ119" s="56"/>
      <c r="CA119" s="56"/>
      <c r="CB119" s="56"/>
      <c r="CC119" s="56"/>
      <c r="CD119" s="56"/>
      <c r="CE119" s="56"/>
      <c r="CF119" s="56"/>
      <c r="CG119" s="56"/>
      <c r="CH119" s="56"/>
      <c r="CI119" s="56"/>
    </row>
    <row r="120" spans="1:87" s="40" customFormat="1" ht="29.45" customHeight="1">
      <c r="A120" s="53">
        <v>46192</v>
      </c>
      <c r="B120" s="50" t="s">
        <v>376</v>
      </c>
      <c r="C120" s="54">
        <v>7830</v>
      </c>
      <c r="D120" s="54">
        <v>10737</v>
      </c>
      <c r="E120" s="55">
        <v>1674200</v>
      </c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  <c r="AK120" s="55"/>
      <c r="AL120" s="55"/>
      <c r="AM120" s="55"/>
      <c r="AN120" s="55"/>
      <c r="AO120" s="55"/>
      <c r="AP120" s="55"/>
      <c r="AQ120" s="55"/>
      <c r="AR120" s="55"/>
      <c r="AS120" s="55"/>
      <c r="AT120" s="55"/>
      <c r="AU120" s="55"/>
      <c r="AV120" s="55"/>
      <c r="AW120" s="55"/>
      <c r="AX120" s="55"/>
      <c r="AY120" s="55"/>
      <c r="AZ120" s="55"/>
      <c r="BA120" s="55"/>
      <c r="BB120" s="55"/>
      <c r="BC120" s="55"/>
      <c r="BD120" s="55"/>
      <c r="BE120" s="55"/>
      <c r="BF120" s="55"/>
      <c r="BG120" s="55"/>
      <c r="BH120" s="55"/>
      <c r="BI120" s="55"/>
      <c r="BJ120" s="55"/>
      <c r="BK120" s="172"/>
      <c r="BL120" s="55"/>
      <c r="BM120" s="55"/>
      <c r="BN120" s="55"/>
      <c r="BO120" s="55"/>
      <c r="BP120" s="55"/>
      <c r="BQ120" s="55"/>
      <c r="BR120" s="55"/>
      <c r="BS120" s="55"/>
      <c r="BT120" s="55"/>
      <c r="BU120" s="55">
        <v>1674200</v>
      </c>
      <c r="BV120" s="55"/>
      <c r="BW120" s="55"/>
      <c r="BX120" s="56">
        <f t="shared" si="1"/>
        <v>1674200</v>
      </c>
      <c r="BY120" s="55"/>
      <c r="BZ120" s="56"/>
      <c r="CA120" s="56"/>
      <c r="CB120" s="56"/>
      <c r="CC120" s="56"/>
      <c r="CD120" s="56"/>
      <c r="CE120" s="56"/>
      <c r="CF120" s="56"/>
      <c r="CG120" s="56"/>
      <c r="CH120" s="56"/>
      <c r="CI120" s="56"/>
    </row>
    <row r="121" spans="1:87" s="40" customFormat="1" ht="29.45" customHeight="1">
      <c r="A121" s="53">
        <v>46197</v>
      </c>
      <c r="B121" s="50" t="s">
        <v>366</v>
      </c>
      <c r="C121" s="54" t="s">
        <v>377</v>
      </c>
      <c r="D121" s="54">
        <v>9693</v>
      </c>
      <c r="E121" s="55">
        <v>24929928</v>
      </c>
      <c r="F121" s="55">
        <v>1591272</v>
      </c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>
        <v>24929928</v>
      </c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55"/>
      <c r="AL121" s="55"/>
      <c r="AM121" s="55"/>
      <c r="AN121" s="55"/>
      <c r="AO121" s="55"/>
      <c r="AP121" s="55"/>
      <c r="AQ121" s="55"/>
      <c r="AR121" s="55"/>
      <c r="AS121" s="55"/>
      <c r="AT121" s="55"/>
      <c r="AU121" s="55"/>
      <c r="AV121" s="55"/>
      <c r="AW121" s="55"/>
      <c r="AX121" s="55"/>
      <c r="AY121" s="55"/>
      <c r="AZ121" s="55"/>
      <c r="BA121" s="55"/>
      <c r="BB121" s="55"/>
      <c r="BC121" s="55"/>
      <c r="BD121" s="55"/>
      <c r="BE121" s="55"/>
      <c r="BF121" s="55"/>
      <c r="BG121" s="55"/>
      <c r="BH121" s="55"/>
      <c r="BI121" s="55"/>
      <c r="BJ121" s="55"/>
      <c r="BK121" s="172"/>
      <c r="BL121" s="55"/>
      <c r="BM121" s="55"/>
      <c r="BN121" s="55"/>
      <c r="BO121" s="55"/>
      <c r="BP121" s="55"/>
      <c r="BQ121" s="55"/>
      <c r="BR121" s="55"/>
      <c r="BS121" s="55"/>
      <c r="BT121" s="55"/>
      <c r="BU121" s="55"/>
      <c r="BV121" s="55"/>
      <c r="BW121" s="55"/>
      <c r="BX121" s="56">
        <f t="shared" si="1"/>
        <v>26521200</v>
      </c>
      <c r="BY121" s="55"/>
      <c r="BZ121" s="56"/>
      <c r="CA121" s="56"/>
      <c r="CB121" s="56"/>
      <c r="CC121" s="56"/>
      <c r="CD121" s="56"/>
      <c r="CE121" s="56"/>
      <c r="CF121" s="56"/>
      <c r="CG121" s="56"/>
      <c r="CH121" s="56"/>
      <c r="CI121" s="56"/>
    </row>
    <row r="122" spans="1:87" s="40" customFormat="1" ht="29.45" customHeight="1">
      <c r="A122" s="53">
        <v>46203</v>
      </c>
      <c r="B122" s="50" t="s">
        <v>200</v>
      </c>
      <c r="C122" s="54" t="s">
        <v>371</v>
      </c>
      <c r="D122" s="54">
        <v>10655</v>
      </c>
      <c r="E122" s="55">
        <v>51775200</v>
      </c>
      <c r="F122" s="55">
        <v>3304800</v>
      </c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>
        <f>18000000+37080000</f>
        <v>55080000</v>
      </c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55"/>
      <c r="AP122" s="55"/>
      <c r="AQ122" s="55"/>
      <c r="AR122" s="55"/>
      <c r="AS122" s="55"/>
      <c r="AT122" s="55"/>
      <c r="AU122" s="55"/>
      <c r="AV122" s="55"/>
      <c r="AW122" s="55"/>
      <c r="AX122" s="55"/>
      <c r="AY122" s="55"/>
      <c r="AZ122" s="55"/>
      <c r="BA122" s="55"/>
      <c r="BB122" s="55"/>
      <c r="BC122" s="55"/>
      <c r="BD122" s="55"/>
      <c r="BE122" s="55"/>
      <c r="BF122" s="55"/>
      <c r="BG122" s="55"/>
      <c r="BH122" s="55"/>
      <c r="BI122" s="55"/>
      <c r="BJ122" s="55"/>
      <c r="BK122" s="172"/>
      <c r="BL122" s="55"/>
      <c r="BM122" s="55"/>
      <c r="BN122" s="55"/>
      <c r="BO122" s="55"/>
      <c r="BP122" s="55"/>
      <c r="BQ122" s="55"/>
      <c r="BR122" s="55"/>
      <c r="BS122" s="55"/>
      <c r="BT122" s="55"/>
      <c r="BU122" s="55"/>
      <c r="BV122" s="55"/>
      <c r="BW122" s="55"/>
      <c r="BX122" s="56">
        <f t="shared" si="1"/>
        <v>58384800</v>
      </c>
      <c r="BY122" s="55"/>
      <c r="BZ122" s="56"/>
      <c r="CA122" s="56"/>
      <c r="CB122" s="56"/>
      <c r="CC122" s="56"/>
      <c r="CD122" s="56"/>
      <c r="CE122" s="56"/>
      <c r="CF122" s="56"/>
      <c r="CG122" s="56"/>
      <c r="CH122" s="56"/>
      <c r="CI122" s="56"/>
    </row>
    <row r="123" spans="1:87" s="40" customFormat="1" ht="29.45" customHeight="1">
      <c r="A123" s="53">
        <v>46199</v>
      </c>
      <c r="B123" s="50" t="s">
        <v>200</v>
      </c>
      <c r="C123" s="54" t="s">
        <v>377</v>
      </c>
      <c r="D123" s="54">
        <v>10807</v>
      </c>
      <c r="E123" s="55">
        <v>33840000</v>
      </c>
      <c r="F123" s="55">
        <v>2160000</v>
      </c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>
        <v>36000000</v>
      </c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  <c r="AK123" s="55"/>
      <c r="AL123" s="55"/>
      <c r="AM123" s="55"/>
      <c r="AN123" s="55"/>
      <c r="AO123" s="55"/>
      <c r="AP123" s="55"/>
      <c r="AQ123" s="55"/>
      <c r="AR123" s="55"/>
      <c r="AS123" s="55"/>
      <c r="AT123" s="55"/>
      <c r="AU123" s="55"/>
      <c r="AV123" s="55"/>
      <c r="AW123" s="55"/>
      <c r="AX123" s="55"/>
      <c r="AY123" s="55"/>
      <c r="AZ123" s="55"/>
      <c r="BA123" s="55"/>
      <c r="BB123" s="55"/>
      <c r="BC123" s="55"/>
      <c r="BD123" s="55"/>
      <c r="BE123" s="55"/>
      <c r="BF123" s="55"/>
      <c r="BG123" s="55"/>
      <c r="BH123" s="55"/>
      <c r="BI123" s="55"/>
      <c r="BJ123" s="55"/>
      <c r="BK123" s="172"/>
      <c r="BL123" s="55"/>
      <c r="BM123" s="55"/>
      <c r="BN123" s="55"/>
      <c r="BO123" s="55"/>
      <c r="BP123" s="55"/>
      <c r="BQ123" s="55"/>
      <c r="BR123" s="55"/>
      <c r="BS123" s="55"/>
      <c r="BT123" s="55"/>
      <c r="BU123" s="55"/>
      <c r="BV123" s="55"/>
      <c r="BW123" s="55"/>
      <c r="BX123" s="56">
        <f t="shared" si="1"/>
        <v>38160000</v>
      </c>
      <c r="BY123" s="55"/>
      <c r="BZ123" s="56"/>
      <c r="CA123" s="56"/>
      <c r="CB123" s="56"/>
      <c r="CC123" s="56"/>
      <c r="CD123" s="56"/>
      <c r="CE123" s="56"/>
      <c r="CF123" s="56"/>
      <c r="CG123" s="56"/>
      <c r="CH123" s="56"/>
      <c r="CI123" s="56"/>
    </row>
    <row r="124" spans="1:87" s="40" customFormat="1" ht="29.45" customHeight="1">
      <c r="A124" s="53">
        <v>46202</v>
      </c>
      <c r="B124" s="50" t="s">
        <v>378</v>
      </c>
      <c r="C124" s="54">
        <v>7796</v>
      </c>
      <c r="D124" s="54">
        <v>10651</v>
      </c>
      <c r="E124" s="55">
        <v>10528000</v>
      </c>
      <c r="F124" s="55">
        <v>672000</v>
      </c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>
        <v>10528000</v>
      </c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  <c r="AK124" s="55"/>
      <c r="AL124" s="55"/>
      <c r="AM124" s="55"/>
      <c r="AN124" s="55"/>
      <c r="AO124" s="55"/>
      <c r="AP124" s="55"/>
      <c r="AQ124" s="55"/>
      <c r="AR124" s="55"/>
      <c r="AS124" s="55"/>
      <c r="AT124" s="55"/>
      <c r="AU124" s="55"/>
      <c r="AV124" s="55"/>
      <c r="AW124" s="55"/>
      <c r="AX124" s="55"/>
      <c r="AY124" s="55"/>
      <c r="AZ124" s="55"/>
      <c r="BA124" s="55"/>
      <c r="BB124" s="55"/>
      <c r="BC124" s="55"/>
      <c r="BD124" s="55"/>
      <c r="BE124" s="55"/>
      <c r="BF124" s="55"/>
      <c r="BG124" s="55"/>
      <c r="BH124" s="55"/>
      <c r="BI124" s="55"/>
      <c r="BJ124" s="55"/>
      <c r="BK124" s="172"/>
      <c r="BL124" s="55"/>
      <c r="BM124" s="55"/>
      <c r="BN124" s="55"/>
      <c r="BO124" s="55"/>
      <c r="BP124" s="55"/>
      <c r="BQ124" s="55"/>
      <c r="BR124" s="55"/>
      <c r="BS124" s="55"/>
      <c r="BT124" s="55"/>
      <c r="BU124" s="55"/>
      <c r="BV124" s="55"/>
      <c r="BW124" s="55"/>
      <c r="BX124" s="56">
        <f t="shared" si="1"/>
        <v>11200000</v>
      </c>
      <c r="BY124" s="55"/>
      <c r="BZ124" s="56"/>
      <c r="CA124" s="56"/>
      <c r="CB124" s="56"/>
      <c r="CC124" s="56"/>
      <c r="CD124" s="56"/>
      <c r="CE124" s="56"/>
      <c r="CF124" s="56"/>
      <c r="CG124" s="56"/>
      <c r="CH124" s="56"/>
      <c r="CI124" s="56"/>
    </row>
    <row r="125" spans="1:87" s="40" customFormat="1" ht="29.45" customHeight="1">
      <c r="A125" s="53">
        <v>46199</v>
      </c>
      <c r="B125" s="50" t="s">
        <v>362</v>
      </c>
      <c r="C125" s="54">
        <v>7873</v>
      </c>
      <c r="D125" s="54">
        <v>10785</v>
      </c>
      <c r="E125" s="55">
        <v>3863400</v>
      </c>
      <c r="F125" s="55">
        <v>246600</v>
      </c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>
        <v>3863400</v>
      </c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  <c r="AS125" s="55"/>
      <c r="AT125" s="55"/>
      <c r="AU125" s="55"/>
      <c r="AV125" s="55"/>
      <c r="AW125" s="55"/>
      <c r="AX125" s="55"/>
      <c r="AY125" s="55"/>
      <c r="AZ125" s="55"/>
      <c r="BA125" s="55"/>
      <c r="BB125" s="55"/>
      <c r="BC125" s="55"/>
      <c r="BD125" s="55"/>
      <c r="BE125" s="55"/>
      <c r="BF125" s="55"/>
      <c r="BG125" s="55"/>
      <c r="BH125" s="55"/>
      <c r="BI125" s="55"/>
      <c r="BJ125" s="55"/>
      <c r="BK125" s="172"/>
      <c r="BL125" s="55"/>
      <c r="BM125" s="55"/>
      <c r="BN125" s="55"/>
      <c r="BO125" s="55"/>
      <c r="BP125" s="55"/>
      <c r="BQ125" s="55"/>
      <c r="BR125" s="55"/>
      <c r="BS125" s="55"/>
      <c r="BT125" s="55"/>
      <c r="BU125" s="55"/>
      <c r="BV125" s="55"/>
      <c r="BW125" s="55"/>
      <c r="BX125" s="56">
        <f t="shared" si="1"/>
        <v>4110000</v>
      </c>
      <c r="BY125" s="55"/>
      <c r="BZ125" s="56"/>
      <c r="CA125" s="56"/>
      <c r="CB125" s="56"/>
      <c r="CC125" s="56"/>
      <c r="CD125" s="56"/>
      <c r="CE125" s="56"/>
      <c r="CF125" s="56"/>
      <c r="CG125" s="56"/>
      <c r="CH125" s="56"/>
      <c r="CI125" s="56"/>
    </row>
    <row r="126" spans="1:87" s="40" customFormat="1" ht="29.45" customHeight="1">
      <c r="A126" s="53">
        <v>46199</v>
      </c>
      <c r="B126" s="50" t="s">
        <v>183</v>
      </c>
      <c r="C126" s="54">
        <v>7802</v>
      </c>
      <c r="D126" s="54">
        <v>10682</v>
      </c>
      <c r="E126" s="55">
        <v>210000</v>
      </c>
      <c r="F126" s="55">
        <v>0</v>
      </c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>
        <v>210000</v>
      </c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55"/>
      <c r="AW126" s="55"/>
      <c r="AX126" s="55"/>
      <c r="AY126" s="55"/>
      <c r="AZ126" s="55"/>
      <c r="BA126" s="55"/>
      <c r="BB126" s="55"/>
      <c r="BC126" s="55"/>
      <c r="BD126" s="55"/>
      <c r="BE126" s="55"/>
      <c r="BF126" s="55"/>
      <c r="BG126" s="55"/>
      <c r="BH126" s="55"/>
      <c r="BI126" s="55"/>
      <c r="BJ126" s="55"/>
      <c r="BK126" s="172"/>
      <c r="BL126" s="55"/>
      <c r="BM126" s="55"/>
      <c r="BN126" s="55"/>
      <c r="BO126" s="55"/>
      <c r="BP126" s="55"/>
      <c r="BQ126" s="55"/>
      <c r="BR126" s="55"/>
      <c r="BS126" s="55"/>
      <c r="BT126" s="55"/>
      <c r="BU126" s="55"/>
      <c r="BV126" s="55"/>
      <c r="BW126" s="55"/>
      <c r="BX126" s="56">
        <f t="shared" si="1"/>
        <v>210000</v>
      </c>
      <c r="BY126" s="55"/>
      <c r="BZ126" s="56"/>
      <c r="CA126" s="56"/>
      <c r="CB126" s="56"/>
      <c r="CC126" s="56"/>
      <c r="CD126" s="56"/>
      <c r="CE126" s="56"/>
      <c r="CF126" s="56"/>
      <c r="CG126" s="56"/>
      <c r="CH126" s="56"/>
      <c r="CI126" s="56"/>
    </row>
    <row r="127" spans="1:87" s="40" customFormat="1" ht="29.45" customHeight="1">
      <c r="A127" s="53">
        <v>46199</v>
      </c>
      <c r="B127" s="50" t="s">
        <v>123</v>
      </c>
      <c r="C127" s="54">
        <v>7877</v>
      </c>
      <c r="D127" s="54">
        <v>10777</v>
      </c>
      <c r="E127" s="55">
        <v>267000</v>
      </c>
      <c r="F127" s="55"/>
      <c r="G127" s="55"/>
      <c r="H127" s="55"/>
      <c r="I127" s="55"/>
      <c r="J127" s="55"/>
      <c r="K127" s="55"/>
      <c r="L127" s="55"/>
      <c r="M127" s="55"/>
      <c r="N127" s="55"/>
      <c r="O127" s="55">
        <v>267000</v>
      </c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  <c r="AT127" s="55"/>
      <c r="AU127" s="55"/>
      <c r="AV127" s="55"/>
      <c r="AW127" s="55"/>
      <c r="AX127" s="55"/>
      <c r="AY127" s="55"/>
      <c r="AZ127" s="55"/>
      <c r="BA127" s="55"/>
      <c r="BB127" s="55"/>
      <c r="BC127" s="55"/>
      <c r="BD127" s="55"/>
      <c r="BE127" s="55"/>
      <c r="BF127" s="55"/>
      <c r="BG127" s="55"/>
      <c r="BH127" s="55"/>
      <c r="BI127" s="55"/>
      <c r="BJ127" s="55"/>
      <c r="BK127" s="172"/>
      <c r="BL127" s="55"/>
      <c r="BM127" s="55"/>
      <c r="BN127" s="55"/>
      <c r="BO127" s="55"/>
      <c r="BP127" s="55"/>
      <c r="BQ127" s="55"/>
      <c r="BR127" s="55"/>
      <c r="BS127" s="55"/>
      <c r="BT127" s="55"/>
      <c r="BU127" s="55"/>
      <c r="BV127" s="55"/>
      <c r="BW127" s="55"/>
      <c r="BX127" s="56">
        <f t="shared" si="1"/>
        <v>267000</v>
      </c>
      <c r="BY127" s="55"/>
      <c r="BZ127" s="56"/>
      <c r="CA127" s="56"/>
      <c r="CB127" s="56"/>
      <c r="CC127" s="56"/>
      <c r="CD127" s="56"/>
      <c r="CE127" s="56"/>
      <c r="CF127" s="56"/>
      <c r="CG127" s="56"/>
      <c r="CH127" s="56"/>
      <c r="CI127" s="56"/>
    </row>
    <row r="128" spans="1:87" s="40" customFormat="1" ht="29.45" customHeight="1">
      <c r="A128" s="53">
        <v>46199</v>
      </c>
      <c r="B128" s="50" t="s">
        <v>193</v>
      </c>
      <c r="C128" s="54">
        <v>7810</v>
      </c>
      <c r="D128" s="54">
        <v>10663</v>
      </c>
      <c r="E128" s="55">
        <v>7025000</v>
      </c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  <c r="AV128" s="55"/>
      <c r="AW128" s="55"/>
      <c r="AX128" s="55"/>
      <c r="AY128" s="55"/>
      <c r="AZ128" s="55"/>
      <c r="BA128" s="55"/>
      <c r="BB128" s="55"/>
      <c r="BC128" s="55"/>
      <c r="BD128" s="55"/>
      <c r="BE128" s="55"/>
      <c r="BF128" s="55"/>
      <c r="BG128" s="55"/>
      <c r="BH128" s="55"/>
      <c r="BI128" s="55"/>
      <c r="BJ128" s="55"/>
      <c r="BK128" s="172"/>
      <c r="BL128" s="55"/>
      <c r="BM128" s="55"/>
      <c r="BN128" s="55"/>
      <c r="BO128" s="55"/>
      <c r="BP128" s="55"/>
      <c r="BQ128" s="55"/>
      <c r="BR128" s="55"/>
      <c r="BS128" s="55"/>
      <c r="BT128" s="55"/>
      <c r="BU128" s="55"/>
      <c r="BV128" s="55">
        <v>7025000</v>
      </c>
      <c r="BW128" s="55"/>
      <c r="BX128" s="56">
        <f t="shared" si="1"/>
        <v>7025000</v>
      </c>
      <c r="BY128" s="55"/>
      <c r="BZ128" s="56"/>
      <c r="CA128" s="56"/>
      <c r="CB128" s="56"/>
      <c r="CC128" s="56"/>
      <c r="CD128" s="56"/>
      <c r="CE128" s="56"/>
      <c r="CF128" s="56"/>
      <c r="CG128" s="56"/>
      <c r="CH128" s="56"/>
      <c r="CI128" s="56"/>
    </row>
    <row r="129" spans="1:87" s="40" customFormat="1" ht="29.45" customHeight="1">
      <c r="A129" s="53">
        <v>46199</v>
      </c>
      <c r="B129" s="54" t="s">
        <v>123</v>
      </c>
      <c r="C129" s="54">
        <v>7876</v>
      </c>
      <c r="D129" s="54">
        <v>10781</v>
      </c>
      <c r="E129" s="55">
        <v>14137600</v>
      </c>
      <c r="F129" s="55"/>
      <c r="G129" s="55"/>
      <c r="H129" s="55"/>
      <c r="I129" s="55"/>
      <c r="J129" s="55"/>
      <c r="K129" s="55"/>
      <c r="L129" s="55"/>
      <c r="M129" s="55"/>
      <c r="N129" s="55"/>
      <c r="O129" s="55">
        <v>14137600</v>
      </c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/>
      <c r="AO129" s="55"/>
      <c r="AP129" s="55"/>
      <c r="AQ129" s="55"/>
      <c r="AR129" s="55"/>
      <c r="AS129" s="55"/>
      <c r="AT129" s="55"/>
      <c r="AU129" s="55"/>
      <c r="AV129" s="55"/>
      <c r="AW129" s="55"/>
      <c r="AX129" s="55"/>
      <c r="AY129" s="55"/>
      <c r="AZ129" s="55"/>
      <c r="BA129" s="55"/>
      <c r="BB129" s="55"/>
      <c r="BC129" s="55"/>
      <c r="BD129" s="55"/>
      <c r="BE129" s="55"/>
      <c r="BF129" s="55"/>
      <c r="BG129" s="55"/>
      <c r="BH129" s="55"/>
      <c r="BI129" s="55"/>
      <c r="BJ129" s="55"/>
      <c r="BK129" s="172"/>
      <c r="BL129" s="55"/>
      <c r="BM129" s="55"/>
      <c r="BN129" s="55"/>
      <c r="BO129" s="55"/>
      <c r="BP129" s="55"/>
      <c r="BQ129" s="55"/>
      <c r="BR129" s="55"/>
      <c r="BS129" s="55"/>
      <c r="BT129" s="55"/>
      <c r="BU129" s="55"/>
      <c r="BV129" s="55"/>
      <c r="BW129" s="55"/>
      <c r="BX129" s="56">
        <f t="shared" si="1"/>
        <v>14137600</v>
      </c>
      <c r="BY129" s="55"/>
      <c r="BZ129" s="56"/>
      <c r="CA129" s="56"/>
      <c r="CB129" s="56"/>
      <c r="CC129" s="56"/>
      <c r="CD129" s="56"/>
      <c r="CE129" s="56"/>
      <c r="CF129" s="56"/>
      <c r="CG129" s="56"/>
      <c r="CH129" s="56"/>
      <c r="CI129" s="56"/>
    </row>
    <row r="130" spans="1:87" s="40" customFormat="1" ht="29.45" customHeight="1">
      <c r="A130" s="53">
        <v>46199</v>
      </c>
      <c r="B130" s="50" t="s">
        <v>121</v>
      </c>
      <c r="C130" s="54">
        <v>7803</v>
      </c>
      <c r="D130" s="54">
        <v>10676</v>
      </c>
      <c r="E130" s="55">
        <v>5264000</v>
      </c>
      <c r="F130" s="55">
        <v>336000</v>
      </c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  <c r="AS130" s="55"/>
      <c r="AT130" s="55"/>
      <c r="AU130" s="55"/>
      <c r="AV130" s="55"/>
      <c r="AW130" s="55"/>
      <c r="AX130" s="55"/>
      <c r="AY130" s="55"/>
      <c r="AZ130" s="55"/>
      <c r="BA130" s="55"/>
      <c r="BB130" s="55"/>
      <c r="BC130" s="55"/>
      <c r="BD130" s="55"/>
      <c r="BE130" s="55"/>
      <c r="BF130" s="55"/>
      <c r="BG130" s="55"/>
      <c r="BH130" s="55"/>
      <c r="BI130" s="55"/>
      <c r="BJ130" s="55"/>
      <c r="BK130" s="172"/>
      <c r="BL130" s="55"/>
      <c r="BM130" s="55"/>
      <c r="BN130" s="55"/>
      <c r="BO130" s="55"/>
      <c r="BP130" s="55">
        <v>5264000</v>
      </c>
      <c r="BQ130" s="55"/>
      <c r="BR130" s="55"/>
      <c r="BS130" s="55"/>
      <c r="BT130" s="55"/>
      <c r="BU130" s="55"/>
      <c r="BV130" s="55"/>
      <c r="BW130" s="55"/>
      <c r="BX130" s="56">
        <f t="shared" si="1"/>
        <v>5600000</v>
      </c>
      <c r="BY130" s="55"/>
      <c r="BZ130" s="56"/>
      <c r="CA130" s="56"/>
      <c r="CB130" s="56"/>
      <c r="CC130" s="56"/>
      <c r="CD130" s="56"/>
      <c r="CE130" s="56"/>
      <c r="CF130" s="56"/>
      <c r="CG130" s="56"/>
      <c r="CH130" s="56"/>
      <c r="CI130" s="56"/>
    </row>
    <row r="131" spans="1:87" s="40" customFormat="1" ht="29.45" customHeight="1">
      <c r="A131" s="53">
        <v>46199</v>
      </c>
      <c r="B131" s="54" t="s">
        <v>123</v>
      </c>
      <c r="C131" s="54">
        <v>7853</v>
      </c>
      <c r="D131" s="54">
        <v>9689</v>
      </c>
      <c r="E131" s="55">
        <v>2615080</v>
      </c>
      <c r="F131" s="55">
        <v>166920</v>
      </c>
      <c r="G131" s="55"/>
      <c r="H131" s="55"/>
      <c r="I131" s="55"/>
      <c r="J131" s="55"/>
      <c r="K131" s="55"/>
      <c r="L131" s="55"/>
      <c r="M131" s="55"/>
      <c r="N131" s="55">
        <v>2615080</v>
      </c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  <c r="AS131" s="55"/>
      <c r="AT131" s="55"/>
      <c r="AU131" s="55"/>
      <c r="AV131" s="55"/>
      <c r="AW131" s="55"/>
      <c r="AX131" s="55"/>
      <c r="AY131" s="55"/>
      <c r="AZ131" s="55"/>
      <c r="BA131" s="55"/>
      <c r="BB131" s="55"/>
      <c r="BC131" s="55"/>
      <c r="BD131" s="55"/>
      <c r="BE131" s="55"/>
      <c r="BF131" s="55"/>
      <c r="BG131" s="55"/>
      <c r="BH131" s="55"/>
      <c r="BI131" s="55"/>
      <c r="BJ131" s="55"/>
      <c r="BK131" s="172"/>
      <c r="BL131" s="55"/>
      <c r="BM131" s="55"/>
      <c r="BN131" s="55"/>
      <c r="BO131" s="55"/>
      <c r="BP131" s="55"/>
      <c r="BQ131" s="55"/>
      <c r="BR131" s="55"/>
      <c r="BS131" s="55"/>
      <c r="BT131" s="55"/>
      <c r="BU131" s="55"/>
      <c r="BV131" s="55"/>
      <c r="BW131" s="55"/>
      <c r="BX131" s="56">
        <f t="shared" si="1"/>
        <v>2782000</v>
      </c>
      <c r="BY131" s="55"/>
      <c r="BZ131" s="56"/>
      <c r="CA131" s="56"/>
      <c r="CB131" s="56"/>
      <c r="CC131" s="56"/>
      <c r="CD131" s="56"/>
      <c r="CE131" s="56"/>
      <c r="CF131" s="56"/>
      <c r="CG131" s="56"/>
      <c r="CH131" s="56"/>
      <c r="CI131" s="56"/>
    </row>
    <row r="132" spans="1:87" s="40" customFormat="1" ht="29.45" customHeight="1">
      <c r="A132" s="53">
        <v>46199</v>
      </c>
      <c r="B132" s="54" t="s">
        <v>123</v>
      </c>
      <c r="C132" s="54">
        <v>7795</v>
      </c>
      <c r="D132" s="54">
        <v>10678</v>
      </c>
      <c r="E132" s="55">
        <v>5073650</v>
      </c>
      <c r="F132" s="55">
        <v>323850</v>
      </c>
      <c r="G132" s="55"/>
      <c r="H132" s="55"/>
      <c r="I132" s="55"/>
      <c r="J132" s="55"/>
      <c r="K132" s="55"/>
      <c r="L132" s="55"/>
      <c r="M132" s="55"/>
      <c r="N132" s="55">
        <v>5073650</v>
      </c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55"/>
      <c r="AP132" s="55"/>
      <c r="AQ132" s="55"/>
      <c r="AR132" s="55"/>
      <c r="AS132" s="55"/>
      <c r="AT132" s="55"/>
      <c r="AU132" s="55"/>
      <c r="AV132" s="55"/>
      <c r="AW132" s="55"/>
      <c r="AX132" s="55"/>
      <c r="AY132" s="55"/>
      <c r="AZ132" s="55"/>
      <c r="BA132" s="55"/>
      <c r="BB132" s="55"/>
      <c r="BC132" s="55"/>
      <c r="BD132" s="55"/>
      <c r="BE132" s="55"/>
      <c r="BF132" s="55"/>
      <c r="BG132" s="55"/>
      <c r="BH132" s="55"/>
      <c r="BI132" s="55"/>
      <c r="BJ132" s="55"/>
      <c r="BK132" s="172"/>
      <c r="BL132" s="55"/>
      <c r="BM132" s="55"/>
      <c r="BN132" s="55"/>
      <c r="BO132" s="55"/>
      <c r="BP132" s="55"/>
      <c r="BQ132" s="55"/>
      <c r="BR132" s="55"/>
      <c r="BS132" s="55"/>
      <c r="BT132" s="55"/>
      <c r="BU132" s="55"/>
      <c r="BV132" s="55"/>
      <c r="BW132" s="55"/>
      <c r="BX132" s="56">
        <f t="shared" ref="BX132:BX158" si="2">F132+G132+H132+I132+J132+K132+L132+M132+N132+O132+P132+Q132+R132+S132+T132+U132+V132+W132+X132+Y132+Z132+AA132+AB132+AC132+AD132+AE132+AF132+AG132+AH132+AI132+AJ132+AK132+AL132+AM132+AN132+AO132+AP132+AQ132+AR132+AS132+AT132+AU132+AV132+AW132+AX132+AY132+AZ132+BA132+BB132+BC132+BD132+BE132+BF132+BG132+BH132+BI132+BJ132+BK132+BL132+BM132+BN132+BO132+BP132+BQ132+BR132+BS132+BT132+BU132+BV132+BW132</f>
        <v>5397500</v>
      </c>
      <c r="BY132" s="55"/>
      <c r="BZ132" s="56"/>
      <c r="CA132" s="56"/>
      <c r="CB132" s="56"/>
      <c r="CC132" s="56"/>
      <c r="CD132" s="56"/>
      <c r="CE132" s="56"/>
      <c r="CF132" s="56"/>
      <c r="CG132" s="56"/>
      <c r="CH132" s="56"/>
      <c r="CI132" s="56"/>
    </row>
    <row r="133" spans="1:87" s="40" customFormat="1" ht="29.45" customHeight="1">
      <c r="A133" s="53">
        <v>46193</v>
      </c>
      <c r="B133" s="50" t="s">
        <v>379</v>
      </c>
      <c r="C133" s="54">
        <v>7794</v>
      </c>
      <c r="D133" s="54">
        <v>9663</v>
      </c>
      <c r="E133" s="55">
        <v>25000000</v>
      </c>
      <c r="F133" s="55">
        <f>2461740+228360</f>
        <v>2690100</v>
      </c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55"/>
      <c r="AU133" s="55"/>
      <c r="AV133" s="55"/>
      <c r="AW133" s="55"/>
      <c r="AX133" s="55"/>
      <c r="AY133" s="55"/>
      <c r="AZ133" s="55"/>
      <c r="BA133" s="55"/>
      <c r="BB133" s="55"/>
      <c r="BC133" s="55"/>
      <c r="BD133" s="55"/>
      <c r="BE133" s="55"/>
      <c r="BF133" s="55"/>
      <c r="BG133" s="55"/>
      <c r="BH133" s="55"/>
      <c r="BI133" s="55"/>
      <c r="BJ133" s="55"/>
      <c r="BK133" s="172"/>
      <c r="BL133" s="55"/>
      <c r="BM133" s="55"/>
      <c r="BN133" s="55"/>
      <c r="BO133" s="55"/>
      <c r="BP133" s="55"/>
      <c r="BQ133" s="55"/>
      <c r="BR133" s="55"/>
      <c r="BS133" s="55"/>
      <c r="BT133" s="55"/>
      <c r="BU133" s="55"/>
      <c r="BV133" s="55">
        <v>25000000</v>
      </c>
      <c r="BW133" s="55"/>
      <c r="BX133" s="56">
        <f t="shared" si="2"/>
        <v>27690100</v>
      </c>
      <c r="BY133" s="55"/>
      <c r="BZ133" s="56"/>
      <c r="CA133" s="56"/>
      <c r="CB133" s="56"/>
      <c r="CC133" s="56"/>
      <c r="CD133" s="56"/>
      <c r="CE133" s="56"/>
      <c r="CF133" s="56"/>
      <c r="CG133" s="56"/>
      <c r="CH133" s="56"/>
      <c r="CI133" s="56"/>
    </row>
    <row r="134" spans="1:87" s="40" customFormat="1" ht="29.45" customHeight="1">
      <c r="A134" s="53">
        <v>46195</v>
      </c>
      <c r="B134" s="50" t="s">
        <v>118</v>
      </c>
      <c r="C134" s="54">
        <v>7808</v>
      </c>
      <c r="D134" s="54">
        <v>10660</v>
      </c>
      <c r="E134" s="55">
        <v>1065020</v>
      </c>
      <c r="F134" s="55">
        <v>67980</v>
      </c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  <c r="AS134" s="55"/>
      <c r="AT134" s="55"/>
      <c r="AU134" s="55"/>
      <c r="AV134" s="55"/>
      <c r="AW134" s="55"/>
      <c r="AX134" s="55"/>
      <c r="AY134" s="55"/>
      <c r="AZ134" s="55"/>
      <c r="BA134" s="55"/>
      <c r="BB134" s="55"/>
      <c r="BC134" s="55"/>
      <c r="BD134" s="55"/>
      <c r="BE134" s="55"/>
      <c r="BF134" s="55"/>
      <c r="BG134" s="55">
        <v>1065020</v>
      </c>
      <c r="BH134" s="55"/>
      <c r="BI134" s="55"/>
      <c r="BJ134" s="55"/>
      <c r="BK134" s="172"/>
      <c r="BL134" s="55"/>
      <c r="BM134" s="55"/>
      <c r="BN134" s="55"/>
      <c r="BO134" s="55"/>
      <c r="BP134" s="55"/>
      <c r="BQ134" s="55"/>
      <c r="BR134" s="55"/>
      <c r="BS134" s="55"/>
      <c r="BT134" s="55"/>
      <c r="BU134" s="55"/>
      <c r="BV134" s="55"/>
      <c r="BW134" s="55"/>
      <c r="BX134" s="56">
        <f t="shared" si="2"/>
        <v>1133000</v>
      </c>
      <c r="BY134" s="55"/>
      <c r="BZ134" s="56"/>
      <c r="CA134" s="56"/>
      <c r="CB134" s="56"/>
      <c r="CC134" s="56"/>
      <c r="CD134" s="56"/>
      <c r="CE134" s="56"/>
      <c r="CF134" s="56"/>
      <c r="CG134" s="56"/>
      <c r="CH134" s="56"/>
      <c r="CI134" s="56"/>
    </row>
    <row r="135" spans="1:87" s="40" customFormat="1" ht="29.45" customHeight="1">
      <c r="A135" s="53">
        <v>46196</v>
      </c>
      <c r="B135" s="54" t="s">
        <v>343</v>
      </c>
      <c r="C135" s="54">
        <v>7844</v>
      </c>
      <c r="D135" s="54">
        <v>10746</v>
      </c>
      <c r="E135" s="55">
        <v>4560000</v>
      </c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5"/>
      <c r="AW135" s="55">
        <f>1230000+765000</f>
        <v>1995000</v>
      </c>
      <c r="AX135" s="55"/>
      <c r="AY135" s="55"/>
      <c r="AZ135" s="55"/>
      <c r="BA135" s="55"/>
      <c r="BB135" s="55"/>
      <c r="BC135" s="55"/>
      <c r="BD135" s="55">
        <v>0</v>
      </c>
      <c r="BE135" s="55"/>
      <c r="BF135" s="55"/>
      <c r="BG135" s="55"/>
      <c r="BH135" s="55"/>
      <c r="BI135" s="55">
        <f>1935000</f>
        <v>1935000</v>
      </c>
      <c r="BJ135" s="55"/>
      <c r="BK135" s="172"/>
      <c r="BL135" s="55"/>
      <c r="BM135" s="55"/>
      <c r="BN135" s="55"/>
      <c r="BO135" s="55"/>
      <c r="BP135" s="55"/>
      <c r="BQ135" s="55"/>
      <c r="BR135" s="55"/>
      <c r="BS135" s="55"/>
      <c r="BT135" s="55">
        <v>630000</v>
      </c>
      <c r="BU135" s="55"/>
      <c r="BV135" s="55"/>
      <c r="BW135" s="55"/>
      <c r="BX135" s="56">
        <f t="shared" si="2"/>
        <v>4560000</v>
      </c>
      <c r="BY135" s="55"/>
      <c r="BZ135" s="56"/>
      <c r="CA135" s="56"/>
      <c r="CB135" s="56"/>
      <c r="CC135" s="56"/>
      <c r="CD135" s="56"/>
      <c r="CE135" s="56"/>
      <c r="CF135" s="56"/>
      <c r="CG135" s="56"/>
      <c r="CH135" s="56"/>
      <c r="CI135" s="56"/>
    </row>
    <row r="136" spans="1:87" s="40" customFormat="1" ht="29.45" customHeight="1">
      <c r="A136" s="53">
        <v>46087</v>
      </c>
      <c r="B136" s="54" t="s">
        <v>343</v>
      </c>
      <c r="C136" s="54">
        <v>7781</v>
      </c>
      <c r="D136" s="50" t="s">
        <v>380</v>
      </c>
      <c r="E136" s="55">
        <v>7870000</v>
      </c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>
        <f>300000</f>
        <v>300000</v>
      </c>
      <c r="AT136" s="55"/>
      <c r="AU136" s="55"/>
      <c r="AV136" s="55"/>
      <c r="AW136" s="55"/>
      <c r="AX136" s="55"/>
      <c r="AY136" s="55"/>
      <c r="AZ136" s="55">
        <f>1500000</f>
        <v>1500000</v>
      </c>
      <c r="BA136" s="55"/>
      <c r="BB136" s="55"/>
      <c r="BC136" s="55"/>
      <c r="BD136" s="55">
        <f>500000+200000+200000+250000+430000+0</f>
        <v>1580000</v>
      </c>
      <c r="BE136" s="55"/>
      <c r="BF136" s="55"/>
      <c r="BG136" s="55"/>
      <c r="BH136" s="55"/>
      <c r="BI136" s="55">
        <f>1470000</f>
        <v>1470000</v>
      </c>
      <c r="BJ136" s="55"/>
      <c r="BK136" s="172">
        <f>150000+100000+150000</f>
        <v>400000</v>
      </c>
      <c r="BL136" s="55"/>
      <c r="BM136" s="55"/>
      <c r="BN136" s="55">
        <f>1000000</f>
        <v>1000000</v>
      </c>
      <c r="BO136" s="55"/>
      <c r="BP136" s="55"/>
      <c r="BQ136" s="55">
        <f>1500000</f>
        <v>1500000</v>
      </c>
      <c r="BR136" s="55"/>
      <c r="BS136" s="55"/>
      <c r="BT136" s="55">
        <f>120000</f>
        <v>120000</v>
      </c>
      <c r="BU136" s="55"/>
      <c r="BV136" s="55"/>
      <c r="BW136" s="55"/>
      <c r="BX136" s="56">
        <f t="shared" si="2"/>
        <v>7870000</v>
      </c>
      <c r="BY136" s="55"/>
      <c r="BZ136" s="56"/>
      <c r="CA136" s="56"/>
      <c r="CB136" s="56"/>
      <c r="CC136" s="56"/>
      <c r="CD136" s="56"/>
      <c r="CE136" s="56"/>
      <c r="CF136" s="56"/>
      <c r="CG136" s="56"/>
      <c r="CH136" s="56"/>
      <c r="CI136" s="56"/>
    </row>
    <row r="137" spans="1:87" s="40" customFormat="1" ht="29.45" customHeight="1">
      <c r="A137" s="53">
        <v>46189</v>
      </c>
      <c r="B137" s="54" t="s">
        <v>343</v>
      </c>
      <c r="C137" s="54">
        <v>7812</v>
      </c>
      <c r="D137" s="54">
        <v>10681</v>
      </c>
      <c r="E137" s="55">
        <v>2980000</v>
      </c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5"/>
      <c r="AY137" s="55"/>
      <c r="AZ137" s="55"/>
      <c r="BA137" s="55"/>
      <c r="BB137" s="55"/>
      <c r="BC137" s="55"/>
      <c r="BD137" s="55"/>
      <c r="BE137" s="55"/>
      <c r="BF137" s="55"/>
      <c r="BG137" s="55"/>
      <c r="BH137" s="55"/>
      <c r="BI137" s="55">
        <f>2980000</f>
        <v>2980000</v>
      </c>
      <c r="BJ137" s="55"/>
      <c r="BK137" s="172"/>
      <c r="BL137" s="55"/>
      <c r="BM137" s="55"/>
      <c r="BN137" s="55"/>
      <c r="BO137" s="55"/>
      <c r="BP137" s="55"/>
      <c r="BQ137" s="55"/>
      <c r="BR137" s="55"/>
      <c r="BS137" s="55"/>
      <c r="BT137" s="55"/>
      <c r="BU137" s="55"/>
      <c r="BV137" s="55"/>
      <c r="BW137" s="55"/>
      <c r="BX137" s="56">
        <f t="shared" si="2"/>
        <v>2980000</v>
      </c>
      <c r="BY137" s="55"/>
      <c r="BZ137" s="56"/>
      <c r="CA137" s="56"/>
      <c r="CB137" s="56"/>
      <c r="CC137" s="56"/>
      <c r="CD137" s="56"/>
      <c r="CE137" s="56"/>
      <c r="CF137" s="56"/>
      <c r="CG137" s="56"/>
      <c r="CH137" s="56"/>
      <c r="CI137" s="56"/>
    </row>
    <row r="138" spans="1:87" s="40" customFormat="1" ht="29.45" customHeight="1">
      <c r="A138" s="53">
        <v>46188</v>
      </c>
      <c r="B138" s="54" t="s">
        <v>343</v>
      </c>
      <c r="C138" s="54">
        <v>7820</v>
      </c>
      <c r="D138" s="54" t="s">
        <v>381</v>
      </c>
      <c r="E138" s="55">
        <v>12990000</v>
      </c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>
        <f>530000</f>
        <v>530000</v>
      </c>
      <c r="AC138" s="55"/>
      <c r="AD138" s="55"/>
      <c r="AE138" s="55"/>
      <c r="AF138" s="55"/>
      <c r="AG138" s="55"/>
      <c r="AH138" s="55"/>
      <c r="AI138" s="55">
        <f>500000+120000+270000</f>
        <v>890000</v>
      </c>
      <c r="AJ138" s="55"/>
      <c r="AK138" s="55">
        <f>750000</f>
        <v>750000</v>
      </c>
      <c r="AL138" s="55"/>
      <c r="AM138" s="55"/>
      <c r="AN138" s="55"/>
      <c r="AO138" s="55"/>
      <c r="AP138" s="55">
        <f>1000000</f>
        <v>1000000</v>
      </c>
      <c r="AQ138" s="55"/>
      <c r="AR138" s="55"/>
      <c r="AS138" s="55"/>
      <c r="AT138" s="55"/>
      <c r="AU138" s="55"/>
      <c r="AV138" s="55"/>
      <c r="AW138" s="55"/>
      <c r="AX138" s="55">
        <f>0+3150000+4000000</f>
        <v>7150000</v>
      </c>
      <c r="AY138" s="55"/>
      <c r="AZ138" s="55">
        <f>120000+300000</f>
        <v>420000</v>
      </c>
      <c r="BA138" s="55"/>
      <c r="BB138" s="55"/>
      <c r="BC138" s="55"/>
      <c r="BD138" s="55"/>
      <c r="BE138" s="55">
        <f>50000</f>
        <v>50000</v>
      </c>
      <c r="BF138" s="55"/>
      <c r="BG138" s="55"/>
      <c r="BH138" s="55"/>
      <c r="BI138" s="55"/>
      <c r="BJ138" s="55"/>
      <c r="BK138" s="172">
        <f>250000</f>
        <v>250000</v>
      </c>
      <c r="BL138" s="55"/>
      <c r="BM138" s="55"/>
      <c r="BN138" s="55">
        <f>100000</f>
        <v>100000</v>
      </c>
      <c r="BO138" s="55"/>
      <c r="BP138" s="55"/>
      <c r="BQ138" s="55">
        <f>1000000+600000</f>
        <v>1600000</v>
      </c>
      <c r="BR138" s="55"/>
      <c r="BS138" s="55"/>
      <c r="BT138" s="55"/>
      <c r="BU138" s="55">
        <f>150000+100000</f>
        <v>250000</v>
      </c>
      <c r="BV138" s="55"/>
      <c r="BW138" s="55"/>
      <c r="BX138" s="56">
        <f t="shared" si="2"/>
        <v>12990000</v>
      </c>
      <c r="BY138" s="55"/>
      <c r="BZ138" s="56"/>
      <c r="CA138" s="56"/>
      <c r="CB138" s="56"/>
      <c r="CC138" s="56"/>
      <c r="CD138" s="56"/>
      <c r="CE138" s="56"/>
      <c r="CF138" s="56"/>
      <c r="CG138" s="56"/>
      <c r="CH138" s="56"/>
      <c r="CI138" s="56"/>
    </row>
    <row r="139" spans="1:87" s="40" customFormat="1" ht="29.45" customHeight="1">
      <c r="A139" s="53" t="s">
        <v>382</v>
      </c>
      <c r="B139" s="50" t="s">
        <v>383</v>
      </c>
      <c r="C139" s="54" t="s">
        <v>371</v>
      </c>
      <c r="D139" s="54"/>
      <c r="E139" s="55">
        <v>0</v>
      </c>
      <c r="F139" s="55"/>
      <c r="G139" s="55"/>
      <c r="H139" s="55">
        <v>0</v>
      </c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55"/>
      <c r="AJ139" s="55"/>
      <c r="AK139" s="55"/>
      <c r="AL139" s="55"/>
      <c r="AM139" s="55"/>
      <c r="AN139" s="55"/>
      <c r="AO139" s="55"/>
      <c r="AP139" s="55"/>
      <c r="AQ139" s="55"/>
      <c r="AR139" s="55"/>
      <c r="AS139" s="55"/>
      <c r="AT139" s="55"/>
      <c r="AU139" s="55"/>
      <c r="AV139" s="55"/>
      <c r="AW139" s="55"/>
      <c r="AX139" s="55"/>
      <c r="AY139" s="55"/>
      <c r="AZ139" s="55"/>
      <c r="BA139" s="55"/>
      <c r="BB139" s="55"/>
      <c r="BC139" s="55"/>
      <c r="BD139" s="55"/>
      <c r="BE139" s="55"/>
      <c r="BF139" s="55"/>
      <c r="BG139" s="55"/>
      <c r="BH139" s="55"/>
      <c r="BI139" s="55"/>
      <c r="BJ139" s="55"/>
      <c r="BK139" s="172"/>
      <c r="BL139" s="55"/>
      <c r="BM139" s="55"/>
      <c r="BN139" s="55"/>
      <c r="BO139" s="55"/>
      <c r="BP139" s="55"/>
      <c r="BQ139" s="55"/>
      <c r="BR139" s="55"/>
      <c r="BS139" s="55"/>
      <c r="BT139" s="55"/>
      <c r="BU139" s="55"/>
      <c r="BV139" s="55"/>
      <c r="BW139" s="55"/>
      <c r="BX139" s="56">
        <f t="shared" si="2"/>
        <v>0</v>
      </c>
      <c r="BY139" s="55"/>
      <c r="BZ139" s="56"/>
      <c r="CA139" s="56"/>
      <c r="CB139" s="56"/>
      <c r="CC139" s="56"/>
      <c r="CD139" s="56"/>
      <c r="CE139" s="56"/>
      <c r="CF139" s="56"/>
      <c r="CG139" s="56"/>
      <c r="CH139" s="56"/>
      <c r="CI139" s="56"/>
    </row>
    <row r="140" spans="1:87" s="40" customFormat="1" ht="29.45" customHeight="1">
      <c r="A140" s="53">
        <v>46198</v>
      </c>
      <c r="B140" s="54" t="s">
        <v>238</v>
      </c>
      <c r="C140" s="54">
        <v>7893</v>
      </c>
      <c r="D140" s="54">
        <v>10788</v>
      </c>
      <c r="E140" s="55">
        <v>800000</v>
      </c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  <c r="AK140" s="55">
        <v>800000</v>
      </c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5"/>
      <c r="AW140" s="55"/>
      <c r="AX140" s="55"/>
      <c r="AY140" s="55"/>
      <c r="AZ140" s="55"/>
      <c r="BA140" s="55"/>
      <c r="BB140" s="55"/>
      <c r="BC140" s="55"/>
      <c r="BD140" s="55"/>
      <c r="BE140" s="55"/>
      <c r="BF140" s="55"/>
      <c r="BG140" s="55"/>
      <c r="BH140" s="55"/>
      <c r="BI140" s="55"/>
      <c r="BJ140" s="55"/>
      <c r="BK140" s="172"/>
      <c r="BL140" s="55"/>
      <c r="BM140" s="55"/>
      <c r="BN140" s="55"/>
      <c r="BO140" s="55"/>
      <c r="BP140" s="55"/>
      <c r="BQ140" s="55"/>
      <c r="BR140" s="55"/>
      <c r="BS140" s="55"/>
      <c r="BT140" s="55"/>
      <c r="BU140" s="55"/>
      <c r="BV140" s="55"/>
      <c r="BW140" s="55"/>
      <c r="BX140" s="56">
        <f t="shared" si="2"/>
        <v>800000</v>
      </c>
      <c r="BY140" s="55"/>
      <c r="BZ140" s="56"/>
      <c r="CA140" s="56"/>
      <c r="CB140" s="56"/>
      <c r="CC140" s="56"/>
      <c r="CD140" s="56"/>
      <c r="CE140" s="56"/>
      <c r="CF140" s="56"/>
      <c r="CG140" s="56"/>
      <c r="CH140" s="56"/>
      <c r="CI140" s="56"/>
    </row>
    <row r="141" spans="1:87" s="40" customFormat="1" ht="29.45" customHeight="1">
      <c r="A141" s="53">
        <v>46199</v>
      </c>
      <c r="B141" s="54" t="s">
        <v>25</v>
      </c>
      <c r="C141" s="54">
        <v>7879</v>
      </c>
      <c r="D141" s="54">
        <v>10778</v>
      </c>
      <c r="E141" s="55">
        <v>17490000</v>
      </c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55"/>
      <c r="AK141" s="55">
        <v>17490000</v>
      </c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5"/>
      <c r="AW141" s="55"/>
      <c r="AX141" s="55"/>
      <c r="AY141" s="55"/>
      <c r="AZ141" s="55"/>
      <c r="BA141" s="55"/>
      <c r="BB141" s="55"/>
      <c r="BC141" s="55"/>
      <c r="BD141" s="55"/>
      <c r="BE141" s="55"/>
      <c r="BF141" s="55"/>
      <c r="BG141" s="55"/>
      <c r="BH141" s="55"/>
      <c r="BI141" s="55"/>
      <c r="BJ141" s="55"/>
      <c r="BK141" s="172"/>
      <c r="BL141" s="55"/>
      <c r="BM141" s="55"/>
      <c r="BN141" s="55"/>
      <c r="BO141" s="55"/>
      <c r="BP141" s="55"/>
      <c r="BQ141" s="55"/>
      <c r="BR141" s="55"/>
      <c r="BS141" s="55"/>
      <c r="BT141" s="55"/>
      <c r="BU141" s="55"/>
      <c r="BV141" s="55"/>
      <c r="BW141" s="55"/>
      <c r="BX141" s="56">
        <f t="shared" si="2"/>
        <v>17490000</v>
      </c>
      <c r="BY141" s="55"/>
      <c r="BZ141" s="56"/>
      <c r="CA141" s="56"/>
      <c r="CB141" s="56"/>
      <c r="CC141" s="56"/>
      <c r="CD141" s="56"/>
      <c r="CE141" s="56"/>
      <c r="CF141" s="56"/>
      <c r="CG141" s="56"/>
      <c r="CH141" s="56"/>
      <c r="CI141" s="56"/>
    </row>
    <row r="142" spans="1:87" s="40" customFormat="1" ht="29.45" customHeight="1">
      <c r="A142" s="53">
        <v>46199</v>
      </c>
      <c r="B142" s="50" t="s">
        <v>362</v>
      </c>
      <c r="C142" s="54">
        <v>7897</v>
      </c>
      <c r="D142" s="54">
        <v>10805</v>
      </c>
      <c r="E142" s="55">
        <v>11515000</v>
      </c>
      <c r="F142" s="55">
        <v>735000</v>
      </c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5">
        <v>11515000</v>
      </c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5"/>
      <c r="AW142" s="55"/>
      <c r="AX142" s="55"/>
      <c r="AY142" s="55"/>
      <c r="AZ142" s="55"/>
      <c r="BA142" s="55"/>
      <c r="BB142" s="55"/>
      <c r="BC142" s="55"/>
      <c r="BD142" s="55"/>
      <c r="BE142" s="55"/>
      <c r="BF142" s="55"/>
      <c r="BG142" s="55"/>
      <c r="BH142" s="55"/>
      <c r="BI142" s="55"/>
      <c r="BJ142" s="55"/>
      <c r="BK142" s="172"/>
      <c r="BL142" s="55"/>
      <c r="BM142" s="55"/>
      <c r="BN142" s="55"/>
      <c r="BO142" s="55"/>
      <c r="BP142" s="55"/>
      <c r="BQ142" s="55"/>
      <c r="BR142" s="55"/>
      <c r="BS142" s="55"/>
      <c r="BT142" s="55"/>
      <c r="BU142" s="55"/>
      <c r="BV142" s="55"/>
      <c r="BW142" s="55"/>
      <c r="BX142" s="56">
        <f t="shared" si="2"/>
        <v>12250000</v>
      </c>
      <c r="BY142" s="55"/>
      <c r="BZ142" s="56"/>
      <c r="CA142" s="56"/>
      <c r="CB142" s="56"/>
      <c r="CC142" s="56"/>
      <c r="CD142" s="56"/>
      <c r="CE142" s="56"/>
      <c r="CF142" s="56"/>
      <c r="CG142" s="56"/>
      <c r="CH142" s="56"/>
      <c r="CI142" s="56"/>
    </row>
    <row r="143" spans="1:87" s="40" customFormat="1" ht="29.45" customHeight="1">
      <c r="A143" s="53">
        <v>46199</v>
      </c>
      <c r="B143" s="54" t="s">
        <v>175</v>
      </c>
      <c r="C143" s="54">
        <v>7887</v>
      </c>
      <c r="D143" s="54">
        <v>10772</v>
      </c>
      <c r="E143" s="55">
        <v>7925000</v>
      </c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  <c r="AK143" s="55">
        <v>7835000</v>
      </c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5"/>
      <c r="AW143" s="55"/>
      <c r="AX143" s="55"/>
      <c r="AY143" s="55"/>
      <c r="AZ143" s="55"/>
      <c r="BA143" s="55"/>
      <c r="BB143" s="55"/>
      <c r="BC143" s="55"/>
      <c r="BD143" s="55"/>
      <c r="BE143" s="55"/>
      <c r="BF143" s="55"/>
      <c r="BG143" s="55"/>
      <c r="BH143" s="55"/>
      <c r="BI143" s="55"/>
      <c r="BJ143" s="55"/>
      <c r="BK143" s="172"/>
      <c r="BL143" s="55"/>
      <c r="BM143" s="55"/>
      <c r="BN143" s="55"/>
      <c r="BO143" s="55"/>
      <c r="BP143" s="55"/>
      <c r="BQ143" s="55"/>
      <c r="BR143" s="55"/>
      <c r="BS143" s="55"/>
      <c r="BT143" s="55"/>
      <c r="BU143" s="55"/>
      <c r="BV143" s="55"/>
      <c r="BW143" s="55"/>
      <c r="BX143" s="56">
        <f t="shared" si="2"/>
        <v>7835000</v>
      </c>
      <c r="BY143" s="55"/>
      <c r="BZ143" s="56"/>
      <c r="CA143" s="56"/>
      <c r="CB143" s="56"/>
      <c r="CC143" s="56"/>
      <c r="CD143" s="56"/>
      <c r="CE143" s="56"/>
      <c r="CF143" s="56"/>
      <c r="CG143" s="56"/>
      <c r="CH143" s="56"/>
      <c r="CI143" s="56"/>
    </row>
    <row r="144" spans="1:87" s="40" customFormat="1" ht="29.45" customHeight="1">
      <c r="A144" s="53">
        <v>46199</v>
      </c>
      <c r="B144" s="54" t="s">
        <v>384</v>
      </c>
      <c r="C144" s="54">
        <v>7883</v>
      </c>
      <c r="D144" s="54">
        <v>10790</v>
      </c>
      <c r="E144" s="55">
        <v>5597500</v>
      </c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>
        <v>5597500</v>
      </c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/>
      <c r="AY144" s="55"/>
      <c r="AZ144" s="55"/>
      <c r="BA144" s="55"/>
      <c r="BB144" s="55"/>
      <c r="BC144" s="55"/>
      <c r="BD144" s="55"/>
      <c r="BE144" s="55"/>
      <c r="BF144" s="55"/>
      <c r="BG144" s="55"/>
      <c r="BH144" s="55"/>
      <c r="BI144" s="55"/>
      <c r="BJ144" s="55"/>
      <c r="BK144" s="172"/>
      <c r="BL144" s="55"/>
      <c r="BM144" s="55"/>
      <c r="BN144" s="55"/>
      <c r="BO144" s="55"/>
      <c r="BP144" s="55"/>
      <c r="BQ144" s="55"/>
      <c r="BR144" s="55"/>
      <c r="BS144" s="55"/>
      <c r="BT144" s="55"/>
      <c r="BU144" s="55"/>
      <c r="BV144" s="55"/>
      <c r="BW144" s="55"/>
      <c r="BX144" s="56">
        <f t="shared" si="2"/>
        <v>5597500</v>
      </c>
      <c r="BY144" s="55"/>
      <c r="BZ144" s="56"/>
      <c r="CA144" s="56"/>
      <c r="CB144" s="56"/>
      <c r="CC144" s="56"/>
      <c r="CD144" s="56"/>
      <c r="CE144" s="56"/>
      <c r="CF144" s="56"/>
      <c r="CG144" s="56"/>
      <c r="CH144" s="56"/>
      <c r="CI144" s="56"/>
    </row>
    <row r="145" spans="1:87" s="40" customFormat="1" ht="29.45" customHeight="1">
      <c r="A145" s="53">
        <v>46199</v>
      </c>
      <c r="B145" s="54" t="s">
        <v>384</v>
      </c>
      <c r="C145" s="54">
        <v>7884</v>
      </c>
      <c r="D145" s="54">
        <v>10802</v>
      </c>
      <c r="E145" s="55">
        <v>4400000</v>
      </c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55">
        <v>4400000</v>
      </c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5"/>
      <c r="AW145" s="55"/>
      <c r="AX145" s="55"/>
      <c r="AY145" s="55"/>
      <c r="AZ145" s="55"/>
      <c r="BA145" s="55"/>
      <c r="BB145" s="55"/>
      <c r="BC145" s="55"/>
      <c r="BD145" s="55"/>
      <c r="BE145" s="55"/>
      <c r="BF145" s="55"/>
      <c r="BG145" s="55"/>
      <c r="BH145" s="55"/>
      <c r="BI145" s="55"/>
      <c r="BJ145" s="55"/>
      <c r="BK145" s="172"/>
      <c r="BL145" s="55"/>
      <c r="BM145" s="55"/>
      <c r="BN145" s="55"/>
      <c r="BO145" s="55"/>
      <c r="BP145" s="55"/>
      <c r="BQ145" s="55"/>
      <c r="BR145" s="55"/>
      <c r="BS145" s="55"/>
      <c r="BT145" s="55"/>
      <c r="BU145" s="55"/>
      <c r="BV145" s="55"/>
      <c r="BW145" s="55"/>
      <c r="BX145" s="56">
        <f t="shared" si="2"/>
        <v>4400000</v>
      </c>
      <c r="BY145" s="55"/>
      <c r="BZ145" s="56"/>
      <c r="CA145" s="56"/>
      <c r="CB145" s="56"/>
      <c r="CC145" s="56"/>
      <c r="CD145" s="56"/>
      <c r="CE145" s="56"/>
      <c r="CF145" s="56"/>
      <c r="CG145" s="56"/>
      <c r="CH145" s="56"/>
      <c r="CI145" s="56"/>
    </row>
    <row r="146" spans="1:87" s="40" customFormat="1" ht="29.45" customHeight="1">
      <c r="A146" s="53">
        <v>46199</v>
      </c>
      <c r="B146" s="54" t="s">
        <v>385</v>
      </c>
      <c r="C146" s="54">
        <v>7886</v>
      </c>
      <c r="D146" s="54">
        <v>10793</v>
      </c>
      <c r="E146" s="55">
        <v>1000000</v>
      </c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55"/>
      <c r="AK146" s="55">
        <v>1000000</v>
      </c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5"/>
      <c r="AW146" s="55"/>
      <c r="AX146" s="55"/>
      <c r="AY146" s="55"/>
      <c r="AZ146" s="55"/>
      <c r="BA146" s="55"/>
      <c r="BB146" s="55"/>
      <c r="BC146" s="55"/>
      <c r="BD146" s="55"/>
      <c r="BE146" s="55"/>
      <c r="BF146" s="55"/>
      <c r="BG146" s="55"/>
      <c r="BH146" s="55"/>
      <c r="BI146" s="55"/>
      <c r="BJ146" s="55"/>
      <c r="BK146" s="172"/>
      <c r="BL146" s="55"/>
      <c r="BM146" s="55"/>
      <c r="BN146" s="55"/>
      <c r="BO146" s="55"/>
      <c r="BP146" s="55"/>
      <c r="BQ146" s="55"/>
      <c r="BR146" s="55"/>
      <c r="BS146" s="55"/>
      <c r="BT146" s="55"/>
      <c r="BU146" s="55"/>
      <c r="BV146" s="55"/>
      <c r="BW146" s="55"/>
      <c r="BX146" s="56">
        <f t="shared" si="2"/>
        <v>1000000</v>
      </c>
      <c r="BY146" s="55"/>
      <c r="BZ146" s="56"/>
      <c r="CA146" s="56"/>
      <c r="CB146" s="56"/>
      <c r="CC146" s="56"/>
      <c r="CD146" s="56"/>
      <c r="CE146" s="56"/>
      <c r="CF146" s="56"/>
      <c r="CG146" s="56"/>
      <c r="CH146" s="56"/>
      <c r="CI146" s="56"/>
    </row>
    <row r="147" spans="1:87" s="40" customFormat="1" ht="29.45" customHeight="1">
      <c r="A147" s="53">
        <v>46199</v>
      </c>
      <c r="B147" s="54" t="s">
        <v>93</v>
      </c>
      <c r="C147" s="54">
        <v>7885</v>
      </c>
      <c r="D147" s="54">
        <v>10792</v>
      </c>
      <c r="E147" s="55">
        <v>3870000</v>
      </c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  <c r="AJ147" s="55"/>
      <c r="AK147" s="55">
        <v>3870000</v>
      </c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5"/>
      <c r="AW147" s="55"/>
      <c r="AX147" s="55"/>
      <c r="AY147" s="55"/>
      <c r="AZ147" s="55"/>
      <c r="BA147" s="55"/>
      <c r="BB147" s="55"/>
      <c r="BC147" s="55"/>
      <c r="BD147" s="55"/>
      <c r="BE147" s="55"/>
      <c r="BF147" s="55"/>
      <c r="BG147" s="55"/>
      <c r="BH147" s="55"/>
      <c r="BI147" s="55"/>
      <c r="BJ147" s="55"/>
      <c r="BK147" s="172"/>
      <c r="BL147" s="55"/>
      <c r="BM147" s="55"/>
      <c r="BN147" s="55"/>
      <c r="BO147" s="55"/>
      <c r="BP147" s="55"/>
      <c r="BQ147" s="55"/>
      <c r="BR147" s="55"/>
      <c r="BS147" s="55"/>
      <c r="BT147" s="55"/>
      <c r="BU147" s="55"/>
      <c r="BV147" s="55"/>
      <c r="BW147" s="55"/>
      <c r="BX147" s="56">
        <f t="shared" si="2"/>
        <v>3870000</v>
      </c>
      <c r="BY147" s="55"/>
      <c r="BZ147" s="56"/>
      <c r="CA147" s="56"/>
      <c r="CB147" s="56"/>
      <c r="CC147" s="56"/>
      <c r="CD147" s="56"/>
      <c r="CE147" s="56"/>
      <c r="CF147" s="56"/>
      <c r="CG147" s="56"/>
      <c r="CH147" s="56"/>
      <c r="CI147" s="56"/>
    </row>
    <row r="148" spans="1:87" s="40" customFormat="1" ht="29.45" customHeight="1">
      <c r="A148" s="53">
        <v>46199</v>
      </c>
      <c r="B148" s="54" t="s">
        <v>386</v>
      </c>
      <c r="C148" s="54">
        <v>7890</v>
      </c>
      <c r="D148" s="54">
        <v>10799</v>
      </c>
      <c r="E148" s="55">
        <v>300000</v>
      </c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  <c r="AK148" s="55">
        <v>300000</v>
      </c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5"/>
      <c r="AW148" s="55"/>
      <c r="AX148" s="55"/>
      <c r="AY148" s="55"/>
      <c r="AZ148" s="55"/>
      <c r="BA148" s="55"/>
      <c r="BB148" s="55"/>
      <c r="BC148" s="55"/>
      <c r="BD148" s="55"/>
      <c r="BE148" s="55"/>
      <c r="BF148" s="55"/>
      <c r="BG148" s="55"/>
      <c r="BH148" s="55"/>
      <c r="BI148" s="55"/>
      <c r="BJ148" s="55"/>
      <c r="BK148" s="172"/>
      <c r="BL148" s="55"/>
      <c r="BM148" s="55"/>
      <c r="BN148" s="55"/>
      <c r="BO148" s="55"/>
      <c r="BP148" s="55"/>
      <c r="BQ148" s="55"/>
      <c r="BR148" s="55"/>
      <c r="BS148" s="55"/>
      <c r="BT148" s="55"/>
      <c r="BU148" s="55"/>
      <c r="BV148" s="55"/>
      <c r="BW148" s="55"/>
      <c r="BX148" s="56">
        <f t="shared" si="2"/>
        <v>300000</v>
      </c>
      <c r="BY148" s="55"/>
      <c r="BZ148" s="56"/>
      <c r="CA148" s="56"/>
      <c r="CB148" s="56"/>
      <c r="CC148" s="56"/>
      <c r="CD148" s="56"/>
      <c r="CE148" s="56"/>
      <c r="CF148" s="56"/>
      <c r="CG148" s="56"/>
      <c r="CH148" s="56"/>
      <c r="CI148" s="56"/>
    </row>
    <row r="149" spans="1:87" s="40" customFormat="1" ht="29.45" customHeight="1">
      <c r="A149" s="53">
        <v>46199</v>
      </c>
      <c r="B149" s="54" t="s">
        <v>237</v>
      </c>
      <c r="C149" s="54">
        <v>7880</v>
      </c>
      <c r="D149" s="54">
        <v>10789</v>
      </c>
      <c r="E149" s="55">
        <v>9550000</v>
      </c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  <c r="AK149" s="55">
        <v>9550000</v>
      </c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5"/>
      <c r="AW149" s="55"/>
      <c r="AX149" s="55"/>
      <c r="AY149" s="55"/>
      <c r="AZ149" s="55"/>
      <c r="BA149" s="55"/>
      <c r="BB149" s="55"/>
      <c r="BC149" s="55"/>
      <c r="BD149" s="55"/>
      <c r="BE149" s="55"/>
      <c r="BF149" s="55"/>
      <c r="BG149" s="55"/>
      <c r="BH149" s="55"/>
      <c r="BI149" s="55"/>
      <c r="BJ149" s="55"/>
      <c r="BK149" s="172"/>
      <c r="BL149" s="55"/>
      <c r="BM149" s="55"/>
      <c r="BN149" s="55"/>
      <c r="BO149" s="55"/>
      <c r="BP149" s="55"/>
      <c r="BQ149" s="55"/>
      <c r="BR149" s="55"/>
      <c r="BS149" s="55"/>
      <c r="BT149" s="55"/>
      <c r="BU149" s="55"/>
      <c r="BV149" s="55"/>
      <c r="BW149" s="55"/>
      <c r="BX149" s="56">
        <f t="shared" si="2"/>
        <v>9550000</v>
      </c>
      <c r="BY149" s="55"/>
      <c r="BZ149" s="56"/>
      <c r="CA149" s="56"/>
      <c r="CB149" s="56"/>
      <c r="CC149" s="56"/>
      <c r="CD149" s="56"/>
      <c r="CE149" s="56"/>
      <c r="CF149" s="56"/>
      <c r="CG149" s="56"/>
      <c r="CH149" s="56"/>
      <c r="CI149" s="56"/>
    </row>
    <row r="150" spans="1:87" s="40" customFormat="1" ht="29.45" customHeight="1">
      <c r="A150" s="53">
        <v>46200</v>
      </c>
      <c r="B150" s="54" t="s">
        <v>165</v>
      </c>
      <c r="C150" s="54">
        <v>7889</v>
      </c>
      <c r="D150" s="54">
        <v>10798</v>
      </c>
      <c r="E150" s="55">
        <v>750000</v>
      </c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55">
        <v>750000</v>
      </c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5"/>
      <c r="AW150" s="55"/>
      <c r="AX150" s="55"/>
      <c r="AY150" s="55"/>
      <c r="AZ150" s="55"/>
      <c r="BA150" s="55"/>
      <c r="BB150" s="55"/>
      <c r="BC150" s="55"/>
      <c r="BD150" s="55"/>
      <c r="BE150" s="55"/>
      <c r="BF150" s="55"/>
      <c r="BG150" s="55"/>
      <c r="BH150" s="55"/>
      <c r="BI150" s="55"/>
      <c r="BJ150" s="55"/>
      <c r="BK150" s="172"/>
      <c r="BL150" s="55"/>
      <c r="BM150" s="55"/>
      <c r="BN150" s="55"/>
      <c r="BO150" s="55"/>
      <c r="BP150" s="55"/>
      <c r="BQ150" s="55"/>
      <c r="BR150" s="55"/>
      <c r="BS150" s="55"/>
      <c r="BT150" s="55"/>
      <c r="BU150" s="55"/>
      <c r="BV150" s="55"/>
      <c r="BW150" s="55"/>
      <c r="BX150" s="56">
        <f t="shared" si="2"/>
        <v>750000</v>
      </c>
      <c r="BY150" s="55"/>
      <c r="BZ150" s="56"/>
      <c r="CA150" s="56"/>
      <c r="CB150" s="56"/>
      <c r="CC150" s="56"/>
      <c r="CD150" s="56"/>
      <c r="CE150" s="56"/>
      <c r="CF150" s="56"/>
      <c r="CG150" s="56"/>
      <c r="CH150" s="56"/>
      <c r="CI150" s="56"/>
    </row>
    <row r="151" spans="1:87" s="40" customFormat="1" ht="29.45" customHeight="1">
      <c r="A151" s="53">
        <v>46202</v>
      </c>
      <c r="B151" s="54" t="s">
        <v>214</v>
      </c>
      <c r="C151" s="54">
        <v>7892</v>
      </c>
      <c r="D151" s="54">
        <v>10795</v>
      </c>
      <c r="E151" s="55">
        <v>5350000</v>
      </c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55">
        <v>5350000</v>
      </c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5"/>
      <c r="AW151" s="55"/>
      <c r="AX151" s="55"/>
      <c r="AY151" s="55"/>
      <c r="AZ151" s="55"/>
      <c r="BA151" s="55"/>
      <c r="BB151" s="55"/>
      <c r="BC151" s="55"/>
      <c r="BD151" s="55"/>
      <c r="BE151" s="55"/>
      <c r="BF151" s="55"/>
      <c r="BG151" s="55"/>
      <c r="BH151" s="55"/>
      <c r="BI151" s="55"/>
      <c r="BJ151" s="55"/>
      <c r="BK151" s="172"/>
      <c r="BL151" s="55"/>
      <c r="BM151" s="55"/>
      <c r="BN151" s="55"/>
      <c r="BO151" s="55"/>
      <c r="BP151" s="55"/>
      <c r="BQ151" s="55"/>
      <c r="BR151" s="55"/>
      <c r="BS151" s="55"/>
      <c r="BT151" s="55"/>
      <c r="BU151" s="55"/>
      <c r="BV151" s="55"/>
      <c r="BW151" s="55"/>
      <c r="BX151" s="56">
        <f t="shared" si="2"/>
        <v>5350000</v>
      </c>
      <c r="BY151" s="55"/>
      <c r="BZ151" s="56"/>
      <c r="CA151" s="56"/>
      <c r="CB151" s="56"/>
      <c r="CC151" s="56"/>
      <c r="CD151" s="56"/>
      <c r="CE151" s="56"/>
      <c r="CF151" s="56"/>
      <c r="CG151" s="56"/>
      <c r="CH151" s="56"/>
      <c r="CI151" s="56"/>
    </row>
    <row r="152" spans="1:87" s="40" customFormat="1" ht="29.45" customHeight="1">
      <c r="A152" s="53">
        <v>46202</v>
      </c>
      <c r="B152" s="54" t="s">
        <v>208</v>
      </c>
      <c r="C152" s="54">
        <v>7901</v>
      </c>
      <c r="D152" s="54">
        <v>10812</v>
      </c>
      <c r="E152" s="55">
        <v>5000000</v>
      </c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>
        <v>5000000</v>
      </c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5"/>
      <c r="AW152" s="55"/>
      <c r="AX152" s="55"/>
      <c r="AY152" s="55"/>
      <c r="AZ152" s="55"/>
      <c r="BA152" s="55"/>
      <c r="BB152" s="55"/>
      <c r="BC152" s="55"/>
      <c r="BD152" s="55"/>
      <c r="BE152" s="55"/>
      <c r="BF152" s="55"/>
      <c r="BG152" s="55"/>
      <c r="BH152" s="55"/>
      <c r="BI152" s="55"/>
      <c r="BJ152" s="55"/>
      <c r="BK152" s="172"/>
      <c r="BL152" s="55"/>
      <c r="BM152" s="55"/>
      <c r="BN152" s="55"/>
      <c r="BO152" s="55"/>
      <c r="BP152" s="55"/>
      <c r="BQ152" s="55"/>
      <c r="BR152" s="55"/>
      <c r="BS152" s="55"/>
      <c r="BT152" s="55"/>
      <c r="BU152" s="55"/>
      <c r="BV152" s="55"/>
      <c r="BW152" s="55"/>
      <c r="BX152" s="56">
        <f t="shared" si="2"/>
        <v>5000000</v>
      </c>
      <c r="BY152" s="55"/>
      <c r="BZ152" s="56"/>
      <c r="CA152" s="56"/>
      <c r="CB152" s="56"/>
      <c r="CC152" s="56"/>
      <c r="CD152" s="56"/>
      <c r="CE152" s="56"/>
      <c r="CF152" s="56"/>
      <c r="CG152" s="56"/>
      <c r="CH152" s="56"/>
      <c r="CI152" s="56"/>
    </row>
    <row r="153" spans="1:87" s="40" customFormat="1" ht="29.45" customHeight="1">
      <c r="A153" s="53">
        <v>46199</v>
      </c>
      <c r="B153" s="54" t="s">
        <v>123</v>
      </c>
      <c r="C153" s="54">
        <v>7875</v>
      </c>
      <c r="D153" s="54">
        <v>10786</v>
      </c>
      <c r="E153" s="55">
        <v>8930000</v>
      </c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55">
        <v>8930000</v>
      </c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5"/>
      <c r="AW153" s="55"/>
      <c r="AX153" s="55"/>
      <c r="AY153" s="55"/>
      <c r="AZ153" s="55"/>
      <c r="BA153" s="55"/>
      <c r="BB153" s="55"/>
      <c r="BC153" s="55"/>
      <c r="BD153" s="55"/>
      <c r="BE153" s="55"/>
      <c r="BF153" s="55"/>
      <c r="BG153" s="55"/>
      <c r="BH153" s="55"/>
      <c r="BI153" s="55"/>
      <c r="BJ153" s="55"/>
      <c r="BK153" s="172"/>
      <c r="BL153" s="55"/>
      <c r="BM153" s="55"/>
      <c r="BN153" s="55"/>
      <c r="BO153" s="55"/>
      <c r="BP153" s="55"/>
      <c r="BQ153" s="55"/>
      <c r="BR153" s="55"/>
      <c r="BS153" s="55"/>
      <c r="BT153" s="55"/>
      <c r="BU153" s="55"/>
      <c r="BV153" s="55"/>
      <c r="BW153" s="55"/>
      <c r="BX153" s="56">
        <f t="shared" si="2"/>
        <v>8930000</v>
      </c>
      <c r="BY153" s="55"/>
      <c r="BZ153" s="56"/>
      <c r="CA153" s="56"/>
      <c r="CB153" s="56"/>
      <c r="CC153" s="56"/>
      <c r="CD153" s="56"/>
      <c r="CE153" s="56"/>
      <c r="CF153" s="56"/>
      <c r="CG153" s="56"/>
      <c r="CH153" s="56"/>
      <c r="CI153" s="56"/>
    </row>
    <row r="154" spans="1:87" s="40" customFormat="1" ht="29.45" customHeight="1">
      <c r="A154" s="53">
        <v>46199</v>
      </c>
      <c r="B154" s="54" t="s">
        <v>74</v>
      </c>
      <c r="C154" s="54">
        <v>7881</v>
      </c>
      <c r="D154" s="54">
        <v>10791</v>
      </c>
      <c r="E154" s="55">
        <v>4043000</v>
      </c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55">
        <v>4043000</v>
      </c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5"/>
      <c r="AW154" s="55"/>
      <c r="AX154" s="55"/>
      <c r="AY154" s="55"/>
      <c r="AZ154" s="55"/>
      <c r="BA154" s="55"/>
      <c r="BB154" s="55"/>
      <c r="BC154" s="55"/>
      <c r="BD154" s="55"/>
      <c r="BE154" s="55"/>
      <c r="BF154" s="55"/>
      <c r="BG154" s="55"/>
      <c r="BH154" s="55"/>
      <c r="BI154" s="55"/>
      <c r="BJ154" s="55"/>
      <c r="BK154" s="172"/>
      <c r="BL154" s="55"/>
      <c r="BM154" s="55"/>
      <c r="BN154" s="55"/>
      <c r="BO154" s="55"/>
      <c r="BP154" s="55"/>
      <c r="BQ154" s="55"/>
      <c r="BR154" s="55"/>
      <c r="BS154" s="55"/>
      <c r="BT154" s="55"/>
      <c r="BU154" s="55"/>
      <c r="BV154" s="55"/>
      <c r="BW154" s="55"/>
      <c r="BX154" s="56">
        <f t="shared" si="2"/>
        <v>4043000</v>
      </c>
      <c r="BY154" s="55"/>
      <c r="BZ154" s="56"/>
      <c r="CA154" s="56"/>
      <c r="CB154" s="56"/>
      <c r="CC154" s="56"/>
      <c r="CD154" s="56"/>
      <c r="CE154" s="56"/>
      <c r="CF154" s="56"/>
      <c r="CG154" s="56"/>
      <c r="CH154" s="56"/>
      <c r="CI154" s="56"/>
    </row>
    <row r="155" spans="1:87" s="40" customFormat="1" ht="29.45" customHeight="1">
      <c r="A155" s="53">
        <v>46203</v>
      </c>
      <c r="B155" s="54" t="s">
        <v>99</v>
      </c>
      <c r="C155" s="54">
        <v>7909</v>
      </c>
      <c r="D155" s="54">
        <v>10818</v>
      </c>
      <c r="E155" s="55">
        <v>22995000</v>
      </c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  <c r="AK155" s="55">
        <v>22995000</v>
      </c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5"/>
      <c r="AW155" s="55"/>
      <c r="AX155" s="55"/>
      <c r="AY155" s="55"/>
      <c r="AZ155" s="55"/>
      <c r="BA155" s="55"/>
      <c r="BB155" s="55"/>
      <c r="BC155" s="55"/>
      <c r="BD155" s="55"/>
      <c r="BE155" s="55"/>
      <c r="BF155" s="55"/>
      <c r="BG155" s="55"/>
      <c r="BH155" s="55"/>
      <c r="BI155" s="55"/>
      <c r="BJ155" s="55"/>
      <c r="BK155" s="172"/>
      <c r="BL155" s="55"/>
      <c r="BM155" s="55"/>
      <c r="BN155" s="55"/>
      <c r="BO155" s="55"/>
      <c r="BP155" s="55"/>
      <c r="BQ155" s="55"/>
      <c r="BR155" s="55"/>
      <c r="BS155" s="55"/>
      <c r="BT155" s="55"/>
      <c r="BU155" s="55"/>
      <c r="BV155" s="55"/>
      <c r="BW155" s="55"/>
      <c r="BX155" s="56">
        <f t="shared" si="2"/>
        <v>22995000</v>
      </c>
      <c r="BY155" s="55"/>
      <c r="BZ155" s="56"/>
      <c r="CA155" s="56"/>
      <c r="CB155" s="56"/>
      <c r="CC155" s="56"/>
      <c r="CD155" s="56"/>
      <c r="CE155" s="56"/>
      <c r="CF155" s="56"/>
      <c r="CG155" s="56"/>
      <c r="CH155" s="56"/>
      <c r="CI155" s="56"/>
    </row>
    <row r="156" spans="1:87" s="40" customFormat="1" ht="29.45" customHeight="1">
      <c r="A156" s="53">
        <v>46203</v>
      </c>
      <c r="B156" s="54" t="s">
        <v>99</v>
      </c>
      <c r="C156" s="54">
        <v>7902</v>
      </c>
      <c r="D156" s="54">
        <v>10820</v>
      </c>
      <c r="E156" s="55">
        <v>13200000</v>
      </c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  <c r="AK156" s="55">
        <v>13200000</v>
      </c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AV156" s="55"/>
      <c r="AW156" s="55"/>
      <c r="AX156" s="55"/>
      <c r="AY156" s="55"/>
      <c r="AZ156" s="55"/>
      <c r="BA156" s="55"/>
      <c r="BB156" s="55"/>
      <c r="BC156" s="55"/>
      <c r="BD156" s="55"/>
      <c r="BE156" s="55"/>
      <c r="BF156" s="55"/>
      <c r="BG156" s="55"/>
      <c r="BH156" s="55"/>
      <c r="BI156" s="55"/>
      <c r="BJ156" s="55"/>
      <c r="BK156" s="172"/>
      <c r="BL156" s="55"/>
      <c r="BM156" s="55"/>
      <c r="BN156" s="55"/>
      <c r="BO156" s="55"/>
      <c r="BP156" s="55"/>
      <c r="BQ156" s="55"/>
      <c r="BR156" s="55"/>
      <c r="BS156" s="55"/>
      <c r="BT156" s="55"/>
      <c r="BU156" s="55"/>
      <c r="BV156" s="55"/>
      <c r="BW156" s="55"/>
      <c r="BX156" s="56">
        <f t="shared" si="2"/>
        <v>13200000</v>
      </c>
      <c r="BY156" s="55"/>
      <c r="BZ156" s="56"/>
      <c r="CA156" s="56"/>
      <c r="CB156" s="56"/>
      <c r="CC156" s="56"/>
      <c r="CD156" s="56"/>
      <c r="CE156" s="56"/>
      <c r="CF156" s="56"/>
      <c r="CG156" s="56"/>
      <c r="CH156" s="56"/>
      <c r="CI156" s="56"/>
    </row>
    <row r="157" spans="1:87" s="40" customFormat="1" ht="29.45" customHeight="1">
      <c r="A157" s="53">
        <v>46190</v>
      </c>
      <c r="B157" s="54" t="s">
        <v>343</v>
      </c>
      <c r="C157" s="54">
        <v>7800</v>
      </c>
      <c r="D157" s="50" t="s">
        <v>387</v>
      </c>
      <c r="E157" s="55">
        <v>11509000</v>
      </c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>
        <v>8254000</v>
      </c>
      <c r="AM157" s="55"/>
      <c r="AN157" s="55"/>
      <c r="AO157" s="55"/>
      <c r="AP157" s="55"/>
      <c r="AQ157" s="55"/>
      <c r="AR157" s="55"/>
      <c r="AS157" s="55"/>
      <c r="AT157" s="55"/>
      <c r="AU157" s="55"/>
      <c r="AV157" s="55"/>
      <c r="AW157" s="55">
        <f>700000</f>
        <v>700000</v>
      </c>
      <c r="AX157" s="55"/>
      <c r="AY157" s="55"/>
      <c r="AZ157" s="55"/>
      <c r="BA157" s="55"/>
      <c r="BB157" s="55"/>
      <c r="BC157" s="55"/>
      <c r="BD157" s="55"/>
      <c r="BE157" s="55"/>
      <c r="BF157" s="55"/>
      <c r="BG157" s="55"/>
      <c r="BH157" s="55"/>
      <c r="BI157" s="55"/>
      <c r="BK157" s="172">
        <f>380000+1200000+0+515000</f>
        <v>2095000</v>
      </c>
      <c r="BL157" s="55"/>
      <c r="BM157" s="55"/>
      <c r="BN157" s="55"/>
      <c r="BO157" s="55"/>
      <c r="BP157" s="55"/>
      <c r="BQ157" s="55">
        <f>260000</f>
        <v>260000</v>
      </c>
      <c r="BR157" s="55"/>
      <c r="BS157" s="55"/>
      <c r="BT157" s="55">
        <f>200000</f>
        <v>200000</v>
      </c>
      <c r="BU157" s="55"/>
      <c r="BV157" s="55"/>
      <c r="BW157" s="55"/>
      <c r="BX157" s="56">
        <f t="shared" si="2"/>
        <v>11509000</v>
      </c>
      <c r="BY157" s="55"/>
      <c r="BZ157" s="56"/>
      <c r="CA157" s="56"/>
      <c r="CB157" s="56"/>
      <c r="CC157" s="56"/>
      <c r="CD157" s="56"/>
      <c r="CE157" s="56"/>
      <c r="CF157" s="56"/>
      <c r="CG157" s="56"/>
      <c r="CH157" s="56"/>
      <c r="CI157" s="56"/>
    </row>
    <row r="158" spans="1:87" ht="29.45" customHeight="1">
      <c r="A158" s="188"/>
      <c r="B158" s="188" t="s">
        <v>17</v>
      </c>
      <c r="C158" s="188"/>
      <c r="D158" s="188"/>
      <c r="E158" s="189">
        <f>616688</f>
        <v>616688</v>
      </c>
      <c r="F158" s="189"/>
      <c r="G158" s="189">
        <v>616688</v>
      </c>
      <c r="H158" s="189"/>
      <c r="I158" s="189"/>
      <c r="J158" s="189"/>
      <c r="K158" s="189"/>
      <c r="L158" s="189"/>
      <c r="M158" s="189"/>
      <c r="N158" s="189"/>
      <c r="O158" s="189"/>
      <c r="P158" s="189"/>
      <c r="Q158" s="189"/>
      <c r="R158" s="189"/>
      <c r="S158" s="189"/>
      <c r="T158" s="189"/>
      <c r="U158" s="189"/>
      <c r="V158" s="189"/>
      <c r="W158" s="189"/>
      <c r="X158" s="189"/>
      <c r="Y158" s="189"/>
      <c r="Z158" s="189"/>
      <c r="AA158" s="189"/>
      <c r="AB158" s="189"/>
      <c r="AC158" s="189"/>
      <c r="AD158" s="189"/>
      <c r="AE158" s="189"/>
      <c r="AF158" s="189"/>
      <c r="AG158" s="189"/>
      <c r="AH158" s="189"/>
      <c r="AI158" s="189"/>
      <c r="AJ158" s="189"/>
      <c r="AK158" s="205"/>
      <c r="AL158" s="189"/>
      <c r="AM158" s="189"/>
      <c r="AN158" s="189"/>
      <c r="AO158" s="189"/>
      <c r="AP158" s="189"/>
      <c r="AQ158" s="189"/>
      <c r="AR158" s="189"/>
      <c r="AS158" s="189"/>
      <c r="AT158" s="189"/>
      <c r="AU158" s="189"/>
      <c r="AV158" s="189"/>
      <c r="AW158" s="189"/>
      <c r="AX158" s="189"/>
      <c r="AY158" s="189"/>
      <c r="AZ158" s="189"/>
      <c r="BA158" s="189"/>
      <c r="BB158" s="189"/>
      <c r="BC158" s="189"/>
      <c r="BD158" s="189"/>
      <c r="BE158" s="189"/>
      <c r="BF158" s="189"/>
      <c r="BG158" s="189"/>
      <c r="BH158" s="189"/>
      <c r="BI158" s="189"/>
      <c r="BJ158" s="189"/>
      <c r="BK158" s="206"/>
      <c r="BL158" s="189"/>
      <c r="BM158" s="189"/>
      <c r="BN158" s="189"/>
      <c r="BO158" s="189"/>
      <c r="BP158" s="189"/>
      <c r="BQ158" s="189"/>
      <c r="BR158" s="189"/>
      <c r="BS158" s="189"/>
      <c r="BT158" s="189"/>
      <c r="BU158" s="189"/>
      <c r="BV158" s="189"/>
      <c r="BW158" s="189"/>
      <c r="BX158" s="56">
        <f t="shared" si="2"/>
        <v>616688</v>
      </c>
      <c r="BY158" s="189"/>
    </row>
    <row r="159" spans="1:87" s="193" customFormat="1" ht="29.45" customHeight="1">
      <c r="A159" s="212"/>
      <c r="B159" s="212" t="s">
        <v>5</v>
      </c>
      <c r="C159" s="212"/>
      <c r="D159" s="212"/>
      <c r="E159" s="189">
        <f>SUM(E3:E158)</f>
        <v>1058864932</v>
      </c>
      <c r="F159" s="189">
        <f t="shared" ref="F159:BQ159" si="3">SUM(F3:F158)</f>
        <v>55996248</v>
      </c>
      <c r="G159" s="189">
        <f t="shared" si="3"/>
        <v>616688</v>
      </c>
      <c r="H159" s="189">
        <f t="shared" si="3"/>
        <v>0</v>
      </c>
      <c r="I159" s="189">
        <f t="shared" si="3"/>
        <v>3000000</v>
      </c>
      <c r="J159" s="189">
        <f t="shared" si="3"/>
        <v>15000000</v>
      </c>
      <c r="K159" s="189">
        <f t="shared" si="3"/>
        <v>3969000</v>
      </c>
      <c r="L159" s="189">
        <f t="shared" si="3"/>
        <v>2750000</v>
      </c>
      <c r="M159" s="189">
        <f t="shared" si="3"/>
        <v>1050000</v>
      </c>
      <c r="N159" s="189">
        <f t="shared" si="3"/>
        <v>7688730</v>
      </c>
      <c r="O159" s="189">
        <f t="shared" si="3"/>
        <v>14404600</v>
      </c>
      <c r="P159" s="189">
        <f t="shared" si="3"/>
        <v>0</v>
      </c>
      <c r="Q159" s="189">
        <f t="shared" si="3"/>
        <v>210000</v>
      </c>
      <c r="R159" s="189">
        <f t="shared" si="3"/>
        <v>1551000</v>
      </c>
      <c r="S159" s="189">
        <f t="shared" si="3"/>
        <v>4089000</v>
      </c>
      <c r="T159" s="189">
        <f t="shared" si="3"/>
        <v>133767200</v>
      </c>
      <c r="U159" s="189">
        <f t="shared" si="3"/>
        <v>16770400</v>
      </c>
      <c r="V159" s="189">
        <f t="shared" si="3"/>
        <v>39929928</v>
      </c>
      <c r="W159" s="189">
        <f t="shared" si="3"/>
        <v>6815630</v>
      </c>
      <c r="X159" s="189">
        <f t="shared" si="3"/>
        <v>0</v>
      </c>
      <c r="Y159" s="189">
        <f t="shared" si="3"/>
        <v>91080000</v>
      </c>
      <c r="Z159" s="189">
        <f t="shared" si="3"/>
        <v>6399820</v>
      </c>
      <c r="AA159" s="189">
        <f t="shared" si="3"/>
        <v>210000</v>
      </c>
      <c r="AB159" s="189">
        <f t="shared" si="3"/>
        <v>14608000</v>
      </c>
      <c r="AC159" s="189">
        <f t="shared" si="3"/>
        <v>49885000</v>
      </c>
      <c r="AD159" s="189">
        <f t="shared" si="3"/>
        <v>50040000</v>
      </c>
      <c r="AE159" s="189">
        <f t="shared" si="3"/>
        <v>85870000</v>
      </c>
      <c r="AF159" s="189">
        <f t="shared" si="3"/>
        <v>2346996</v>
      </c>
      <c r="AG159" s="189">
        <f t="shared" si="3"/>
        <v>2500000</v>
      </c>
      <c r="AH159" s="189">
        <f t="shared" si="3"/>
        <v>0</v>
      </c>
      <c r="AI159" s="189">
        <f t="shared" si="3"/>
        <v>1670000</v>
      </c>
      <c r="AJ159" s="189">
        <f t="shared" si="3"/>
        <v>2000000</v>
      </c>
      <c r="AK159" s="189">
        <f t="shared" si="3"/>
        <v>124375500</v>
      </c>
      <c r="AL159" s="189">
        <f t="shared" si="3"/>
        <v>16106000</v>
      </c>
      <c r="AM159" s="189">
        <f t="shared" si="3"/>
        <v>436000</v>
      </c>
      <c r="AN159" s="189">
        <f t="shared" si="3"/>
        <v>2910000</v>
      </c>
      <c r="AO159" s="189">
        <f t="shared" si="3"/>
        <v>16484000</v>
      </c>
      <c r="AP159" s="189">
        <f t="shared" si="3"/>
        <v>2970000</v>
      </c>
      <c r="AQ159" s="189">
        <f t="shared" si="3"/>
        <v>3000000</v>
      </c>
      <c r="AR159" s="189">
        <f t="shared" si="3"/>
        <v>2400000</v>
      </c>
      <c r="AS159" s="189">
        <f t="shared" si="3"/>
        <v>1800000</v>
      </c>
      <c r="AT159" s="189">
        <f t="shared" si="3"/>
        <v>1866000</v>
      </c>
      <c r="AU159" s="189">
        <f t="shared" si="3"/>
        <v>1140000</v>
      </c>
      <c r="AV159" s="189">
        <f t="shared" si="3"/>
        <v>12600000</v>
      </c>
      <c r="AW159" s="189">
        <f t="shared" si="3"/>
        <v>3735000</v>
      </c>
      <c r="AX159" s="189">
        <f t="shared" si="3"/>
        <v>22790000</v>
      </c>
      <c r="AY159" s="189">
        <f t="shared" si="3"/>
        <v>1000000</v>
      </c>
      <c r="AZ159" s="189">
        <f t="shared" si="3"/>
        <v>12684400</v>
      </c>
      <c r="BA159" s="189">
        <f t="shared" si="3"/>
        <v>947500</v>
      </c>
      <c r="BB159" s="189">
        <f t="shared" si="3"/>
        <v>1980000</v>
      </c>
      <c r="BC159" s="189">
        <f t="shared" si="3"/>
        <v>1266000</v>
      </c>
      <c r="BD159" s="189">
        <f t="shared" si="3"/>
        <v>2438000</v>
      </c>
      <c r="BE159" s="189">
        <f t="shared" si="3"/>
        <v>1745000</v>
      </c>
      <c r="BF159" s="189">
        <f t="shared" si="3"/>
        <v>121203250</v>
      </c>
      <c r="BG159" s="189">
        <f t="shared" si="3"/>
        <v>3181020</v>
      </c>
      <c r="BH159" s="189">
        <f t="shared" si="3"/>
        <v>618400</v>
      </c>
      <c r="BI159" s="189">
        <f t="shared" si="3"/>
        <v>15485000</v>
      </c>
      <c r="BJ159" s="189">
        <f t="shared" si="3"/>
        <v>2469000</v>
      </c>
      <c r="BK159" s="189">
        <f t="shared" si="3"/>
        <v>29964000</v>
      </c>
      <c r="BL159" s="189">
        <f t="shared" si="3"/>
        <v>250000</v>
      </c>
      <c r="BM159" s="189">
        <f t="shared" si="3"/>
        <v>200000</v>
      </c>
      <c r="BN159" s="189">
        <f t="shared" si="3"/>
        <v>2100000</v>
      </c>
      <c r="BO159" s="189">
        <f t="shared" si="3"/>
        <v>6343000</v>
      </c>
      <c r="BP159" s="189">
        <f t="shared" si="3"/>
        <v>8618000</v>
      </c>
      <c r="BQ159" s="189">
        <f t="shared" si="3"/>
        <v>4360000</v>
      </c>
      <c r="BR159" s="189">
        <f t="shared" ref="BR159:BW159" si="4">SUM(BR3:BR158)</f>
        <v>2307000</v>
      </c>
      <c r="BS159" s="189">
        <f t="shared" si="4"/>
        <v>4500000</v>
      </c>
      <c r="BT159" s="189">
        <f t="shared" si="4"/>
        <v>8769000</v>
      </c>
      <c r="BU159" s="189">
        <f t="shared" si="4"/>
        <v>4764900</v>
      </c>
      <c r="BV159" s="189">
        <f t="shared" si="4"/>
        <v>54179720</v>
      </c>
      <c r="BW159" s="189">
        <f t="shared" si="4"/>
        <v>1490000</v>
      </c>
      <c r="BX159" s="213">
        <f>SUM(BX4:BX158)</f>
        <v>1118203930</v>
      </c>
      <c r="BY159" s="213"/>
      <c r="BZ159" s="214"/>
      <c r="CA159" s="214"/>
      <c r="CB159" s="214"/>
      <c r="CC159" s="214"/>
      <c r="CD159" s="214"/>
      <c r="CE159" s="214"/>
      <c r="CF159" s="214"/>
      <c r="CG159" s="214"/>
      <c r="CH159" s="214"/>
      <c r="CI159" s="214"/>
    </row>
    <row r="160" spans="1:87" ht="29.45" customHeight="1">
      <c r="A160" s="188"/>
      <c r="B160" s="188"/>
      <c r="C160" s="188"/>
      <c r="D160" s="188"/>
      <c r="E160" s="189"/>
      <c r="F160" s="189"/>
      <c r="G160" s="189"/>
      <c r="H160" s="189"/>
      <c r="I160" s="189"/>
      <c r="J160" s="189"/>
      <c r="K160" s="189"/>
      <c r="L160" s="189"/>
      <c r="M160" s="189"/>
      <c r="N160" s="189"/>
      <c r="O160" s="189"/>
      <c r="P160" s="189"/>
      <c r="Q160" s="189"/>
      <c r="R160" s="189"/>
      <c r="S160" s="189"/>
      <c r="T160" s="189"/>
      <c r="U160" s="189"/>
      <c r="V160" s="189"/>
      <c r="W160" s="189"/>
      <c r="X160" s="189"/>
      <c r="Y160" s="189"/>
      <c r="Z160" s="189"/>
      <c r="AA160" s="189"/>
      <c r="AB160" s="189"/>
      <c r="AC160" s="189"/>
      <c r="AD160" s="189"/>
      <c r="AE160" s="189"/>
      <c r="AF160" s="189"/>
      <c r="AG160" s="189"/>
      <c r="AH160" s="189"/>
      <c r="AI160" s="189"/>
      <c r="AJ160" s="189"/>
      <c r="AK160" s="205"/>
      <c r="AL160" s="189"/>
      <c r="AM160" s="189"/>
      <c r="AN160" s="189"/>
      <c r="AO160" s="189"/>
      <c r="AP160" s="189"/>
      <c r="AQ160" s="189"/>
      <c r="AR160" s="189"/>
      <c r="AS160" s="189"/>
      <c r="AT160" s="189"/>
      <c r="AU160" s="189"/>
      <c r="AV160" s="189"/>
      <c r="AW160" s="189"/>
      <c r="AX160" s="189"/>
      <c r="AY160" s="189"/>
      <c r="AZ160" s="189"/>
      <c r="BA160" s="189"/>
      <c r="BB160" s="189"/>
      <c r="BC160" s="189"/>
      <c r="BD160" s="189"/>
      <c r="BE160" s="189"/>
      <c r="BF160" s="189"/>
      <c r="BG160" s="189"/>
      <c r="BH160" s="189"/>
      <c r="BI160" s="189"/>
      <c r="BJ160" s="189"/>
      <c r="BK160" s="206"/>
      <c r="BL160" s="189"/>
      <c r="BM160" s="189"/>
      <c r="BN160" s="189"/>
      <c r="BO160" s="189"/>
      <c r="BP160" s="189"/>
      <c r="BQ160" s="189"/>
      <c r="BR160" s="189"/>
      <c r="BS160" s="189"/>
      <c r="BT160" s="189"/>
      <c r="BU160" s="189"/>
      <c r="BV160" s="189"/>
      <c r="BW160" s="189"/>
      <c r="BX160" s="189">
        <f t="shared" ref="BX160:BX200" si="5">F160+K160+N160+O160+P160+Q160+R160+S160+T160+U160+V160+W160+X160+Y160+Z160+AA160+AB160+AC160+AD160+AE160+AF160+AG160+AH160+AI160+AJ160+AK160+AL160+AM160+AN160+AO160+AP160+AQ160+AR160+AS160+AT160+AU160+AV160+AW160+AX160+AY160+AZ160+BA160+BB160+BC160+BD160+BE160+BF160+BG160+BH160+BI160+BJ160+BK160+BL160+BM160+BN160+BO160+BP160+BQ160+BR160+BS160+BT160+BU160+BV160</f>
        <v>0</v>
      </c>
      <c r="BY160" s="189"/>
    </row>
    <row r="161" spans="1:77" ht="29.45" customHeight="1">
      <c r="A161" s="188"/>
      <c r="B161" s="188"/>
      <c r="C161" s="188"/>
      <c r="D161" s="188"/>
      <c r="E161" s="189"/>
      <c r="F161" s="189"/>
      <c r="G161" s="189"/>
      <c r="H161" s="189"/>
      <c r="I161" s="189"/>
      <c r="J161" s="189"/>
      <c r="K161" s="189"/>
      <c r="L161" s="189"/>
      <c r="M161" s="189"/>
      <c r="N161" s="189"/>
      <c r="O161" s="189"/>
      <c r="P161" s="189"/>
      <c r="Q161" s="189"/>
      <c r="R161" s="189"/>
      <c r="S161" s="189"/>
      <c r="T161" s="189"/>
      <c r="U161" s="189"/>
      <c r="V161" s="189"/>
      <c r="W161" s="189"/>
      <c r="X161" s="189"/>
      <c r="Y161" s="189"/>
      <c r="Z161" s="189"/>
      <c r="AA161" s="189"/>
      <c r="AB161" s="189"/>
      <c r="AC161" s="189"/>
      <c r="AD161" s="189"/>
      <c r="AE161" s="189"/>
      <c r="AF161" s="189"/>
      <c r="AG161" s="189"/>
      <c r="AH161" s="189"/>
      <c r="AI161" s="189"/>
      <c r="AJ161" s="189"/>
      <c r="AK161" s="205"/>
      <c r="AL161" s="189"/>
      <c r="AM161" s="189"/>
      <c r="AN161" s="189"/>
      <c r="AO161" s="189"/>
      <c r="AP161" s="189"/>
      <c r="AQ161" s="189"/>
      <c r="AR161" s="189"/>
      <c r="AS161" s="189"/>
      <c r="AT161" s="189"/>
      <c r="AU161" s="189"/>
      <c r="AV161" s="189"/>
      <c r="AW161" s="189"/>
      <c r="AX161" s="189"/>
      <c r="AY161" s="189"/>
      <c r="AZ161" s="189"/>
      <c r="BA161" s="189"/>
      <c r="BB161" s="189"/>
      <c r="BC161" s="189"/>
      <c r="BD161" s="189"/>
      <c r="BE161" s="189"/>
      <c r="BF161" s="189"/>
      <c r="BG161" s="189"/>
      <c r="BH161" s="189"/>
      <c r="BI161" s="189"/>
      <c r="BJ161" s="189"/>
      <c r="BK161" s="206"/>
      <c r="BL161" s="189"/>
      <c r="BM161" s="189"/>
      <c r="BN161" s="189"/>
      <c r="BO161" s="189"/>
      <c r="BP161" s="189"/>
      <c r="BQ161" s="189"/>
      <c r="BR161" s="189"/>
      <c r="BS161" s="189"/>
      <c r="BT161" s="189"/>
      <c r="BU161" s="189"/>
      <c r="BV161" s="189"/>
      <c r="BW161" s="189"/>
      <c r="BX161" s="189">
        <f t="shared" si="5"/>
        <v>0</v>
      </c>
      <c r="BY161" s="189"/>
    </row>
    <row r="162" spans="1:77" ht="29.45" customHeight="1">
      <c r="A162" s="188"/>
      <c r="B162" s="188"/>
      <c r="C162" s="188"/>
      <c r="D162" s="188"/>
      <c r="E162" s="189"/>
      <c r="F162" s="189"/>
      <c r="G162" s="189"/>
      <c r="H162" s="189"/>
      <c r="I162" s="189"/>
      <c r="J162" s="189"/>
      <c r="K162" s="189"/>
      <c r="L162" s="189"/>
      <c r="M162" s="189"/>
      <c r="N162" s="189"/>
      <c r="O162" s="189"/>
      <c r="P162" s="189"/>
      <c r="Q162" s="189"/>
      <c r="R162" s="189"/>
      <c r="S162" s="189"/>
      <c r="T162" s="189"/>
      <c r="U162" s="189"/>
      <c r="V162" s="189"/>
      <c r="W162" s="189"/>
      <c r="X162" s="189"/>
      <c r="Y162" s="189"/>
      <c r="Z162" s="189"/>
      <c r="AA162" s="189"/>
      <c r="AB162" s="189"/>
      <c r="AC162" s="189"/>
      <c r="AD162" s="189"/>
      <c r="AE162" s="189"/>
      <c r="AF162" s="189"/>
      <c r="AG162" s="189"/>
      <c r="AH162" s="189"/>
      <c r="AI162" s="189"/>
      <c r="AJ162" s="189"/>
      <c r="AK162" s="205"/>
      <c r="AL162" s="189"/>
      <c r="AM162" s="189"/>
      <c r="AN162" s="189"/>
      <c r="AO162" s="189"/>
      <c r="AP162" s="189"/>
      <c r="AQ162" s="189"/>
      <c r="AR162" s="189"/>
      <c r="AS162" s="189"/>
      <c r="AT162" s="189"/>
      <c r="AU162" s="189"/>
      <c r="AV162" s="189"/>
      <c r="AW162" s="189"/>
      <c r="AX162" s="189"/>
      <c r="AY162" s="189"/>
      <c r="AZ162" s="189"/>
      <c r="BA162" s="189"/>
      <c r="BB162" s="189"/>
      <c r="BC162" s="189"/>
      <c r="BD162" s="189"/>
      <c r="BE162" s="189"/>
      <c r="BF162" s="189"/>
      <c r="BG162" s="189"/>
      <c r="BH162" s="189"/>
      <c r="BI162" s="189"/>
      <c r="BJ162" s="189"/>
      <c r="BK162" s="189"/>
      <c r="BL162" s="189"/>
      <c r="BM162" s="189"/>
      <c r="BN162" s="189"/>
      <c r="BO162" s="189"/>
      <c r="BP162" s="189"/>
      <c r="BQ162" s="189"/>
      <c r="BR162" s="189"/>
      <c r="BS162" s="189"/>
      <c r="BT162" s="189"/>
      <c r="BU162" s="189"/>
      <c r="BV162" s="189"/>
      <c r="BW162" s="215"/>
      <c r="BX162" s="215">
        <f t="shared" si="5"/>
        <v>0</v>
      </c>
      <c r="BY162" s="189"/>
    </row>
    <row r="163" spans="1:77" ht="29.45" customHeight="1">
      <c r="A163" s="188"/>
      <c r="B163" s="188"/>
      <c r="C163" s="188"/>
      <c r="D163" s="188"/>
      <c r="E163" s="189"/>
      <c r="F163" s="189"/>
      <c r="G163" s="189"/>
      <c r="H163" s="189"/>
      <c r="I163" s="189"/>
      <c r="J163" s="189"/>
      <c r="K163" s="189"/>
      <c r="L163" s="189"/>
      <c r="M163" s="189"/>
      <c r="N163" s="189"/>
      <c r="O163" s="189"/>
      <c r="P163" s="189"/>
      <c r="Q163" s="189"/>
      <c r="R163" s="189"/>
      <c r="S163" s="189"/>
      <c r="T163" s="189"/>
      <c r="U163" s="189"/>
      <c r="V163" s="189"/>
      <c r="W163" s="189"/>
      <c r="X163" s="189"/>
      <c r="Y163" s="189"/>
      <c r="Z163" s="189"/>
      <c r="AA163" s="189"/>
      <c r="AB163" s="189"/>
      <c r="AC163" s="189"/>
      <c r="AD163" s="189"/>
      <c r="AE163" s="189"/>
      <c r="AF163" s="189"/>
      <c r="AG163" s="189"/>
      <c r="AH163" s="189"/>
      <c r="AI163" s="189"/>
      <c r="AJ163" s="189"/>
      <c r="AK163" s="205"/>
      <c r="AL163" s="189"/>
      <c r="AM163" s="189"/>
      <c r="AN163" s="189"/>
      <c r="AO163" s="189"/>
      <c r="AP163" s="189"/>
      <c r="AQ163" s="189"/>
      <c r="AR163" s="189"/>
      <c r="AS163" s="189"/>
      <c r="AT163" s="189"/>
      <c r="AU163" s="189"/>
      <c r="AV163" s="189"/>
      <c r="AW163" s="189"/>
      <c r="AX163" s="189"/>
      <c r="AY163" s="189"/>
      <c r="AZ163" s="189"/>
      <c r="BA163" s="189"/>
      <c r="BB163" s="189"/>
      <c r="BC163" s="189"/>
      <c r="BD163" s="189"/>
      <c r="BE163" s="189"/>
      <c r="BF163" s="189"/>
      <c r="BG163" s="189"/>
      <c r="BH163" s="189"/>
      <c r="BI163" s="189"/>
      <c r="BJ163" s="189"/>
      <c r="BK163" s="189"/>
      <c r="BL163" s="189"/>
      <c r="BM163" s="189"/>
      <c r="BN163" s="189"/>
      <c r="BO163" s="189"/>
      <c r="BP163" s="189"/>
      <c r="BQ163" s="189"/>
      <c r="BR163" s="189"/>
      <c r="BS163" s="189"/>
      <c r="BT163" s="189"/>
      <c r="BU163" s="189"/>
      <c r="BV163" s="189"/>
      <c r="BW163" s="215"/>
      <c r="BX163" s="215">
        <f t="shared" si="5"/>
        <v>0</v>
      </c>
      <c r="BY163" s="189"/>
    </row>
    <row r="164" spans="1:77" ht="29.45" customHeight="1">
      <c r="A164" s="188"/>
      <c r="B164" s="188"/>
      <c r="C164" s="188"/>
      <c r="D164" s="188"/>
      <c r="E164" s="189"/>
      <c r="F164" s="189"/>
      <c r="G164" s="189"/>
      <c r="H164" s="189"/>
      <c r="I164" s="189"/>
      <c r="J164" s="189"/>
      <c r="K164" s="189"/>
      <c r="L164" s="189"/>
      <c r="M164" s="189"/>
      <c r="N164" s="189"/>
      <c r="O164" s="189"/>
      <c r="P164" s="189"/>
      <c r="Q164" s="189"/>
      <c r="R164" s="189"/>
      <c r="S164" s="189"/>
      <c r="T164" s="189"/>
      <c r="U164" s="189"/>
      <c r="V164" s="189"/>
      <c r="W164" s="189"/>
      <c r="X164" s="189"/>
      <c r="Y164" s="189"/>
      <c r="Z164" s="189"/>
      <c r="AA164" s="189"/>
      <c r="AB164" s="189"/>
      <c r="AC164" s="189"/>
      <c r="AD164" s="189"/>
      <c r="AE164" s="189"/>
      <c r="AF164" s="189"/>
      <c r="AG164" s="189"/>
      <c r="AH164" s="189"/>
      <c r="AI164" s="189"/>
      <c r="AJ164" s="189"/>
      <c r="AK164" s="205"/>
      <c r="AL164" s="189"/>
      <c r="AM164" s="189"/>
      <c r="AN164" s="189"/>
      <c r="AO164" s="189"/>
      <c r="AP164" s="189"/>
      <c r="AQ164" s="189"/>
      <c r="AR164" s="189"/>
      <c r="AS164" s="189"/>
      <c r="AT164" s="189"/>
      <c r="AU164" s="189"/>
      <c r="AV164" s="189"/>
      <c r="AW164" s="189"/>
      <c r="AX164" s="189"/>
      <c r="AY164" s="189"/>
      <c r="AZ164" s="189"/>
      <c r="BA164" s="189"/>
      <c r="BB164" s="189"/>
      <c r="BC164" s="189"/>
      <c r="BD164" s="189"/>
      <c r="BE164" s="189"/>
      <c r="BF164" s="189"/>
      <c r="BG164" s="189"/>
      <c r="BH164" s="189"/>
      <c r="BI164" s="189"/>
      <c r="BJ164" s="189"/>
      <c r="BK164" s="189"/>
      <c r="BL164" s="189"/>
      <c r="BM164" s="189"/>
      <c r="BN164" s="189"/>
      <c r="BO164" s="189"/>
      <c r="BP164" s="189"/>
      <c r="BQ164" s="189"/>
      <c r="BR164" s="189"/>
      <c r="BS164" s="189"/>
      <c r="BT164" s="189"/>
      <c r="BU164" s="189"/>
      <c r="BV164" s="189"/>
      <c r="BW164" s="215"/>
      <c r="BX164" s="215">
        <f t="shared" si="5"/>
        <v>0</v>
      </c>
      <c r="BY164" s="189"/>
    </row>
    <row r="165" spans="1:77" ht="29.45" customHeight="1">
      <c r="A165" s="188"/>
      <c r="B165" s="188"/>
      <c r="C165" s="188"/>
      <c r="D165" s="188"/>
      <c r="E165" s="189"/>
      <c r="F165" s="189"/>
      <c r="G165" s="189"/>
      <c r="H165" s="189"/>
      <c r="I165" s="189"/>
      <c r="J165" s="189"/>
      <c r="K165" s="189"/>
      <c r="L165" s="189"/>
      <c r="M165" s="189"/>
      <c r="N165" s="189"/>
      <c r="O165" s="189"/>
      <c r="P165" s="189"/>
      <c r="Q165" s="189"/>
      <c r="R165" s="189"/>
      <c r="S165" s="189"/>
      <c r="T165" s="189"/>
      <c r="U165" s="189"/>
      <c r="V165" s="189"/>
      <c r="W165" s="189"/>
      <c r="X165" s="189"/>
      <c r="Y165" s="189"/>
      <c r="Z165" s="189"/>
      <c r="AA165" s="189"/>
      <c r="AB165" s="189"/>
      <c r="AC165" s="189"/>
      <c r="AD165" s="189"/>
      <c r="AE165" s="189"/>
      <c r="AF165" s="189"/>
      <c r="AG165" s="189"/>
      <c r="AH165" s="189"/>
      <c r="AI165" s="189"/>
      <c r="AJ165" s="189"/>
      <c r="AK165" s="205"/>
      <c r="AL165" s="189"/>
      <c r="AM165" s="189"/>
      <c r="AN165" s="189"/>
      <c r="AO165" s="189"/>
      <c r="AP165" s="189"/>
      <c r="AQ165" s="189"/>
      <c r="AR165" s="189"/>
      <c r="AS165" s="189"/>
      <c r="AT165" s="189"/>
      <c r="AU165" s="189"/>
      <c r="AV165" s="189"/>
      <c r="AW165" s="189"/>
      <c r="AX165" s="189"/>
      <c r="AY165" s="189"/>
      <c r="AZ165" s="189"/>
      <c r="BA165" s="189"/>
      <c r="BB165" s="189"/>
      <c r="BC165" s="189"/>
      <c r="BD165" s="189"/>
      <c r="BE165" s="189"/>
      <c r="BF165" s="189"/>
      <c r="BG165" s="189"/>
      <c r="BH165" s="189"/>
      <c r="BI165" s="189"/>
      <c r="BJ165" s="189"/>
      <c r="BK165" s="189"/>
      <c r="BL165" s="189"/>
      <c r="BM165" s="189"/>
      <c r="BN165" s="189"/>
      <c r="BO165" s="189"/>
      <c r="BP165" s="189"/>
      <c r="BQ165" s="189"/>
      <c r="BR165" s="189"/>
      <c r="BS165" s="189"/>
      <c r="BT165" s="189"/>
      <c r="BU165" s="189"/>
      <c r="BV165" s="189"/>
      <c r="BW165" s="215"/>
      <c r="BX165" s="215">
        <f t="shared" si="5"/>
        <v>0</v>
      </c>
      <c r="BY165" s="189"/>
    </row>
    <row r="166" spans="1:77" ht="29.45" customHeight="1">
      <c r="A166" s="188"/>
      <c r="B166" s="188"/>
      <c r="C166" s="188"/>
      <c r="D166" s="188"/>
      <c r="E166" s="189"/>
      <c r="F166" s="189"/>
      <c r="G166" s="189"/>
      <c r="H166" s="189"/>
      <c r="I166" s="189"/>
      <c r="J166" s="189"/>
      <c r="K166" s="189"/>
      <c r="L166" s="189"/>
      <c r="M166" s="189"/>
      <c r="N166" s="189"/>
      <c r="O166" s="189"/>
      <c r="P166" s="189"/>
      <c r="Q166" s="189"/>
      <c r="R166" s="189"/>
      <c r="S166" s="189"/>
      <c r="T166" s="189"/>
      <c r="U166" s="189"/>
      <c r="V166" s="189"/>
      <c r="W166" s="189"/>
      <c r="X166" s="189"/>
      <c r="Y166" s="189"/>
      <c r="Z166" s="189"/>
      <c r="AA166" s="189"/>
      <c r="AB166" s="189"/>
      <c r="AC166" s="189"/>
      <c r="AD166" s="189"/>
      <c r="AE166" s="189"/>
      <c r="AF166" s="189"/>
      <c r="AG166" s="189"/>
      <c r="AH166" s="189"/>
      <c r="AI166" s="189"/>
      <c r="AJ166" s="189"/>
      <c r="AK166" s="205"/>
      <c r="AL166" s="189"/>
      <c r="AM166" s="189"/>
      <c r="AN166" s="189"/>
      <c r="AO166" s="189"/>
      <c r="AP166" s="189"/>
      <c r="AQ166" s="189"/>
      <c r="AR166" s="189"/>
      <c r="AS166" s="189"/>
      <c r="AT166" s="189"/>
      <c r="AU166" s="189"/>
      <c r="AV166" s="189"/>
      <c r="AW166" s="189"/>
      <c r="AX166" s="189"/>
      <c r="AY166" s="189"/>
      <c r="AZ166" s="189"/>
      <c r="BA166" s="189"/>
      <c r="BB166" s="189"/>
      <c r="BC166" s="189"/>
      <c r="BD166" s="189"/>
      <c r="BE166" s="189"/>
      <c r="BF166" s="189"/>
      <c r="BG166" s="189"/>
      <c r="BH166" s="189"/>
      <c r="BI166" s="189"/>
      <c r="BJ166" s="189"/>
      <c r="BK166" s="189"/>
      <c r="BL166" s="189"/>
      <c r="BM166" s="189"/>
      <c r="BN166" s="189"/>
      <c r="BO166" s="189"/>
      <c r="BP166" s="189"/>
      <c r="BQ166" s="189"/>
      <c r="BR166" s="189"/>
      <c r="BS166" s="189"/>
      <c r="BT166" s="189"/>
      <c r="BU166" s="189"/>
      <c r="BV166" s="189"/>
      <c r="BW166" s="215"/>
      <c r="BX166" s="215">
        <f t="shared" si="5"/>
        <v>0</v>
      </c>
      <c r="BY166" s="189"/>
    </row>
    <row r="167" spans="1:77" ht="29.45" customHeight="1">
      <c r="A167" s="188"/>
      <c r="B167" s="188"/>
      <c r="C167" s="188"/>
      <c r="D167" s="188"/>
      <c r="E167" s="189"/>
      <c r="F167" s="189"/>
      <c r="G167" s="189"/>
      <c r="H167" s="189"/>
      <c r="I167" s="189"/>
      <c r="J167" s="189"/>
      <c r="K167" s="189"/>
      <c r="L167" s="189"/>
      <c r="M167" s="189"/>
      <c r="N167" s="189"/>
      <c r="O167" s="189"/>
      <c r="P167" s="189"/>
      <c r="Q167" s="189"/>
      <c r="R167" s="189"/>
      <c r="S167" s="189"/>
      <c r="T167" s="189"/>
      <c r="U167" s="189"/>
      <c r="V167" s="189"/>
      <c r="W167" s="189"/>
      <c r="X167" s="189"/>
      <c r="Y167" s="189"/>
      <c r="Z167" s="189"/>
      <c r="AA167" s="189"/>
      <c r="AB167" s="189"/>
      <c r="AC167" s="189"/>
      <c r="AD167" s="189"/>
      <c r="AE167" s="189"/>
      <c r="AF167" s="189"/>
      <c r="AG167" s="189"/>
      <c r="AH167" s="189"/>
      <c r="AI167" s="189"/>
      <c r="AJ167" s="189"/>
      <c r="AK167" s="205"/>
      <c r="AL167" s="189"/>
      <c r="AM167" s="189"/>
      <c r="AN167" s="189"/>
      <c r="AO167" s="189"/>
      <c r="AP167" s="189"/>
      <c r="AQ167" s="189"/>
      <c r="AR167" s="189"/>
      <c r="AS167" s="189"/>
      <c r="AT167" s="189"/>
      <c r="AU167" s="189"/>
      <c r="AV167" s="189"/>
      <c r="AW167" s="189"/>
      <c r="AX167" s="189"/>
      <c r="AY167" s="189"/>
      <c r="AZ167" s="189"/>
      <c r="BA167" s="189"/>
      <c r="BB167" s="189"/>
      <c r="BC167" s="189"/>
      <c r="BD167" s="189"/>
      <c r="BE167" s="189"/>
      <c r="BF167" s="189"/>
      <c r="BG167" s="189"/>
      <c r="BH167" s="189"/>
      <c r="BI167" s="189"/>
      <c r="BJ167" s="189"/>
      <c r="BK167" s="189"/>
      <c r="BL167" s="189"/>
      <c r="BM167" s="189"/>
      <c r="BN167" s="189"/>
      <c r="BO167" s="189"/>
      <c r="BP167" s="189"/>
      <c r="BQ167" s="189"/>
      <c r="BR167" s="189"/>
      <c r="BS167" s="189"/>
      <c r="BT167" s="189"/>
      <c r="BU167" s="189"/>
      <c r="BV167" s="189"/>
      <c r="BW167" s="215"/>
      <c r="BX167" s="215">
        <f t="shared" si="5"/>
        <v>0</v>
      </c>
      <c r="BY167" s="189"/>
    </row>
    <row r="168" spans="1:77" ht="29.45" customHeight="1">
      <c r="A168" s="188"/>
      <c r="B168" s="188"/>
      <c r="C168" s="188"/>
      <c r="D168" s="188"/>
      <c r="E168" s="189"/>
      <c r="F168" s="189"/>
      <c r="G168" s="189"/>
      <c r="H168" s="189"/>
      <c r="I168" s="189"/>
      <c r="J168" s="189"/>
      <c r="K168" s="189"/>
      <c r="L168" s="189"/>
      <c r="M168" s="189"/>
      <c r="N168" s="189"/>
      <c r="O168" s="189"/>
      <c r="P168" s="189"/>
      <c r="Q168" s="189"/>
      <c r="R168" s="189"/>
      <c r="S168" s="189"/>
      <c r="T168" s="189"/>
      <c r="U168" s="189"/>
      <c r="V168" s="189"/>
      <c r="W168" s="189"/>
      <c r="X168" s="189"/>
      <c r="Y168" s="189"/>
      <c r="Z168" s="189"/>
      <c r="AA168" s="189"/>
      <c r="AB168" s="189"/>
      <c r="AC168" s="189"/>
      <c r="AD168" s="189"/>
      <c r="AE168" s="189"/>
      <c r="AF168" s="189"/>
      <c r="AG168" s="189"/>
      <c r="AH168" s="189"/>
      <c r="AI168" s="189"/>
      <c r="AJ168" s="189"/>
      <c r="AK168" s="205"/>
      <c r="AL168" s="189"/>
      <c r="AM168" s="189"/>
      <c r="AN168" s="189"/>
      <c r="AO168" s="189"/>
      <c r="AP168" s="189"/>
      <c r="AQ168" s="189"/>
      <c r="AR168" s="189"/>
      <c r="AS168" s="189"/>
      <c r="AT168" s="189"/>
      <c r="AU168" s="189"/>
      <c r="AV168" s="189"/>
      <c r="AW168" s="189"/>
      <c r="AX168" s="189"/>
      <c r="AY168" s="189"/>
      <c r="AZ168" s="189"/>
      <c r="BA168" s="189"/>
      <c r="BB168" s="189"/>
      <c r="BC168" s="189"/>
      <c r="BD168" s="189"/>
      <c r="BE168" s="189"/>
      <c r="BF168" s="189"/>
      <c r="BG168" s="189"/>
      <c r="BH168" s="189"/>
      <c r="BI168" s="189"/>
      <c r="BJ168" s="189"/>
      <c r="BK168" s="189"/>
      <c r="BL168" s="189"/>
      <c r="BM168" s="189"/>
      <c r="BN168" s="189"/>
      <c r="BO168" s="189"/>
      <c r="BP168" s="189"/>
      <c r="BQ168" s="189"/>
      <c r="BR168" s="189"/>
      <c r="BS168" s="189"/>
      <c r="BT168" s="189"/>
      <c r="BU168" s="189"/>
      <c r="BV168" s="189"/>
      <c r="BW168" s="215"/>
      <c r="BX168" s="215">
        <f t="shared" si="5"/>
        <v>0</v>
      </c>
      <c r="BY168" s="189"/>
    </row>
    <row r="169" spans="1:77" ht="29.45" customHeight="1">
      <c r="A169" s="188"/>
      <c r="B169" s="188"/>
      <c r="C169" s="188"/>
      <c r="D169" s="188"/>
      <c r="E169" s="189"/>
      <c r="F169" s="189"/>
      <c r="G169" s="189"/>
      <c r="H169" s="189"/>
      <c r="I169" s="189"/>
      <c r="J169" s="189"/>
      <c r="K169" s="189"/>
      <c r="L169" s="189"/>
      <c r="M169" s="189"/>
      <c r="N169" s="189"/>
      <c r="O169" s="189"/>
      <c r="P169" s="189"/>
      <c r="Q169" s="189"/>
      <c r="R169" s="189"/>
      <c r="S169" s="189"/>
      <c r="T169" s="189"/>
      <c r="U169" s="189"/>
      <c r="V169" s="189"/>
      <c r="W169" s="189"/>
      <c r="X169" s="189"/>
      <c r="Y169" s="189"/>
      <c r="Z169" s="189"/>
      <c r="AA169" s="189"/>
      <c r="AB169" s="189"/>
      <c r="AC169" s="189"/>
      <c r="AD169" s="189"/>
      <c r="AE169" s="189"/>
      <c r="AF169" s="189"/>
      <c r="AG169" s="189"/>
      <c r="AH169" s="189"/>
      <c r="AI169" s="189"/>
      <c r="AJ169" s="189"/>
      <c r="AK169" s="205"/>
      <c r="AL169" s="189"/>
      <c r="AM169" s="189"/>
      <c r="AN169" s="189"/>
      <c r="AO169" s="189"/>
      <c r="AP169" s="189"/>
      <c r="AQ169" s="189"/>
      <c r="AR169" s="189"/>
      <c r="AS169" s="189"/>
      <c r="AT169" s="189"/>
      <c r="AU169" s="189"/>
      <c r="AV169" s="189"/>
      <c r="AW169" s="189"/>
      <c r="AX169" s="189"/>
      <c r="AY169" s="189"/>
      <c r="AZ169" s="189"/>
      <c r="BA169" s="189"/>
      <c r="BB169" s="189"/>
      <c r="BC169" s="189"/>
      <c r="BD169" s="189"/>
      <c r="BE169" s="189"/>
      <c r="BF169" s="189"/>
      <c r="BG169" s="189"/>
      <c r="BH169" s="189"/>
      <c r="BI169" s="189"/>
      <c r="BJ169" s="189"/>
      <c r="BK169" s="189"/>
      <c r="BL169" s="189"/>
      <c r="BM169" s="189"/>
      <c r="BN169" s="189"/>
      <c r="BO169" s="189"/>
      <c r="BP169" s="189"/>
      <c r="BQ169" s="189"/>
      <c r="BR169" s="189"/>
      <c r="BS169" s="189"/>
      <c r="BT169" s="189"/>
      <c r="BU169" s="189"/>
      <c r="BV169" s="189"/>
      <c r="BW169" s="215"/>
      <c r="BX169" s="215">
        <f t="shared" si="5"/>
        <v>0</v>
      </c>
      <c r="BY169" s="189"/>
    </row>
    <row r="170" spans="1:77" ht="29.45" customHeight="1">
      <c r="A170" s="188"/>
      <c r="B170" s="188"/>
      <c r="C170" s="188"/>
      <c r="D170" s="188"/>
      <c r="E170" s="189"/>
      <c r="F170" s="189"/>
      <c r="G170" s="189"/>
      <c r="H170" s="189"/>
      <c r="I170" s="189"/>
      <c r="J170" s="189"/>
      <c r="K170" s="189"/>
      <c r="L170" s="189"/>
      <c r="M170" s="189"/>
      <c r="N170" s="189"/>
      <c r="O170" s="189"/>
      <c r="P170" s="189"/>
      <c r="Q170" s="189"/>
      <c r="R170" s="189"/>
      <c r="S170" s="189"/>
      <c r="T170" s="189"/>
      <c r="U170" s="189"/>
      <c r="V170" s="189"/>
      <c r="W170" s="189"/>
      <c r="X170" s="189"/>
      <c r="Y170" s="189"/>
      <c r="Z170" s="189"/>
      <c r="AA170" s="189"/>
      <c r="AB170" s="189"/>
      <c r="AC170" s="189"/>
      <c r="AD170" s="189"/>
      <c r="AE170" s="189"/>
      <c r="AF170" s="189"/>
      <c r="AG170" s="189"/>
      <c r="AH170" s="189"/>
      <c r="AI170" s="189"/>
      <c r="AJ170" s="189"/>
      <c r="AK170" s="205"/>
      <c r="AL170" s="189"/>
      <c r="AM170" s="189"/>
      <c r="AN170" s="189"/>
      <c r="AO170" s="189"/>
      <c r="AP170" s="189"/>
      <c r="AQ170" s="189"/>
      <c r="AR170" s="189"/>
      <c r="AS170" s="189"/>
      <c r="AT170" s="189"/>
      <c r="AU170" s="189"/>
      <c r="AV170" s="189"/>
      <c r="AW170" s="189"/>
      <c r="AX170" s="189"/>
      <c r="AY170" s="189"/>
      <c r="AZ170" s="189"/>
      <c r="BA170" s="189"/>
      <c r="BB170" s="189"/>
      <c r="BC170" s="189"/>
      <c r="BD170" s="189"/>
      <c r="BE170" s="189"/>
      <c r="BF170" s="189"/>
      <c r="BG170" s="189"/>
      <c r="BH170" s="189"/>
      <c r="BI170" s="189"/>
      <c r="BJ170" s="189"/>
      <c r="BK170" s="189"/>
      <c r="BL170" s="189"/>
      <c r="BM170" s="189"/>
      <c r="BN170" s="189"/>
      <c r="BO170" s="189"/>
      <c r="BP170" s="189"/>
      <c r="BQ170" s="189"/>
      <c r="BR170" s="189"/>
      <c r="BS170" s="189"/>
      <c r="BT170" s="189"/>
      <c r="BU170" s="189"/>
      <c r="BV170" s="189"/>
      <c r="BW170" s="215"/>
      <c r="BX170" s="215">
        <f t="shared" si="5"/>
        <v>0</v>
      </c>
      <c r="BY170" s="189"/>
    </row>
    <row r="171" spans="1:77" ht="29.45" customHeight="1">
      <c r="A171" s="188"/>
      <c r="B171" s="188"/>
      <c r="C171" s="188"/>
      <c r="D171" s="188"/>
      <c r="E171" s="189"/>
      <c r="F171" s="189"/>
      <c r="G171" s="189"/>
      <c r="H171" s="189"/>
      <c r="I171" s="189"/>
      <c r="J171" s="189"/>
      <c r="K171" s="189"/>
      <c r="L171" s="189"/>
      <c r="M171" s="189"/>
      <c r="N171" s="189"/>
      <c r="O171" s="189"/>
      <c r="P171" s="189"/>
      <c r="Q171" s="189"/>
      <c r="R171" s="189"/>
      <c r="S171" s="189"/>
      <c r="T171" s="189"/>
      <c r="U171" s="189"/>
      <c r="V171" s="189"/>
      <c r="W171" s="189"/>
      <c r="X171" s="189"/>
      <c r="Y171" s="189"/>
      <c r="Z171" s="189"/>
      <c r="AA171" s="189"/>
      <c r="AB171" s="189"/>
      <c r="AC171" s="189"/>
      <c r="AD171" s="189"/>
      <c r="AE171" s="189"/>
      <c r="AF171" s="189"/>
      <c r="AG171" s="189"/>
      <c r="AH171" s="189"/>
      <c r="AI171" s="189"/>
      <c r="AJ171" s="189"/>
      <c r="AK171" s="205"/>
      <c r="AL171" s="189"/>
      <c r="AM171" s="189"/>
      <c r="AN171" s="189"/>
      <c r="AO171" s="189"/>
      <c r="AP171" s="189"/>
      <c r="AQ171" s="189"/>
      <c r="AR171" s="189"/>
      <c r="AS171" s="189"/>
      <c r="AT171" s="189"/>
      <c r="AU171" s="189"/>
      <c r="AV171" s="189"/>
      <c r="AW171" s="189"/>
      <c r="AX171" s="189"/>
      <c r="AY171" s="189"/>
      <c r="AZ171" s="189"/>
      <c r="BA171" s="189"/>
      <c r="BB171" s="189"/>
      <c r="BC171" s="189"/>
      <c r="BD171" s="189"/>
      <c r="BE171" s="189"/>
      <c r="BF171" s="189"/>
      <c r="BG171" s="189"/>
      <c r="BH171" s="189"/>
      <c r="BI171" s="189"/>
      <c r="BJ171" s="189"/>
      <c r="BK171" s="189"/>
      <c r="BL171" s="189"/>
      <c r="BM171" s="189"/>
      <c r="BN171" s="189"/>
      <c r="BO171" s="189"/>
      <c r="BP171" s="189"/>
      <c r="BQ171" s="189"/>
      <c r="BR171" s="189"/>
      <c r="BS171" s="189"/>
      <c r="BT171" s="189"/>
      <c r="BU171" s="189"/>
      <c r="BV171" s="189"/>
      <c r="BW171" s="215"/>
      <c r="BX171" s="215">
        <f t="shared" si="5"/>
        <v>0</v>
      </c>
      <c r="BY171" s="189"/>
    </row>
    <row r="172" spans="1:77" ht="29.45" customHeight="1">
      <c r="A172" s="188"/>
      <c r="B172" s="188"/>
      <c r="C172" s="188"/>
      <c r="D172" s="188"/>
      <c r="E172" s="189"/>
      <c r="F172" s="189"/>
      <c r="G172" s="189"/>
      <c r="H172" s="189"/>
      <c r="I172" s="189"/>
      <c r="J172" s="189"/>
      <c r="K172" s="189"/>
      <c r="L172" s="189"/>
      <c r="M172" s="189"/>
      <c r="N172" s="189"/>
      <c r="O172" s="189"/>
      <c r="P172" s="189"/>
      <c r="Q172" s="189"/>
      <c r="R172" s="189"/>
      <c r="S172" s="189"/>
      <c r="T172" s="189"/>
      <c r="U172" s="189"/>
      <c r="V172" s="189"/>
      <c r="W172" s="189"/>
      <c r="X172" s="189"/>
      <c r="Y172" s="189"/>
      <c r="Z172" s="189"/>
      <c r="AA172" s="189"/>
      <c r="AB172" s="189"/>
      <c r="AC172" s="189"/>
      <c r="AD172" s="189"/>
      <c r="AE172" s="189"/>
      <c r="AF172" s="189"/>
      <c r="AG172" s="189"/>
      <c r="AH172" s="189"/>
      <c r="AI172" s="189"/>
      <c r="AJ172" s="189"/>
      <c r="AK172" s="205"/>
      <c r="AL172" s="189"/>
      <c r="AM172" s="189"/>
      <c r="AN172" s="189"/>
      <c r="AO172" s="189"/>
      <c r="AP172" s="189"/>
      <c r="AQ172" s="189"/>
      <c r="AR172" s="189"/>
      <c r="AS172" s="189"/>
      <c r="AT172" s="189"/>
      <c r="AU172" s="189"/>
      <c r="AV172" s="189"/>
      <c r="AW172" s="189"/>
      <c r="AX172" s="189"/>
      <c r="AY172" s="189"/>
      <c r="AZ172" s="189"/>
      <c r="BA172" s="189"/>
      <c r="BB172" s="189"/>
      <c r="BC172" s="189"/>
      <c r="BD172" s="189"/>
      <c r="BE172" s="189"/>
      <c r="BF172" s="189"/>
      <c r="BG172" s="189"/>
      <c r="BH172" s="189"/>
      <c r="BI172" s="189"/>
      <c r="BJ172" s="189"/>
      <c r="BK172" s="189"/>
      <c r="BL172" s="189"/>
      <c r="BM172" s="189"/>
      <c r="BN172" s="189"/>
      <c r="BO172" s="189"/>
      <c r="BP172" s="189"/>
      <c r="BQ172" s="189"/>
      <c r="BR172" s="189"/>
      <c r="BS172" s="189"/>
      <c r="BT172" s="189"/>
      <c r="BU172" s="189"/>
      <c r="BV172" s="189"/>
      <c r="BW172" s="215"/>
      <c r="BX172" s="215">
        <f t="shared" si="5"/>
        <v>0</v>
      </c>
      <c r="BY172" s="189"/>
    </row>
    <row r="173" spans="1:77" ht="29.45" customHeight="1">
      <c r="A173" s="188"/>
      <c r="B173" s="188"/>
      <c r="C173" s="188"/>
      <c r="D173" s="188"/>
      <c r="E173" s="189"/>
      <c r="F173" s="189"/>
      <c r="G173" s="189"/>
      <c r="H173" s="189"/>
      <c r="I173" s="189"/>
      <c r="J173" s="189"/>
      <c r="K173" s="189"/>
      <c r="L173" s="189"/>
      <c r="M173" s="189"/>
      <c r="N173" s="189"/>
      <c r="O173" s="189"/>
      <c r="P173" s="189"/>
      <c r="Q173" s="189"/>
      <c r="R173" s="189"/>
      <c r="S173" s="189"/>
      <c r="T173" s="189"/>
      <c r="U173" s="189"/>
      <c r="V173" s="189"/>
      <c r="W173" s="189"/>
      <c r="X173" s="189"/>
      <c r="Y173" s="189"/>
      <c r="Z173" s="189"/>
      <c r="AA173" s="189"/>
      <c r="AB173" s="189"/>
      <c r="AC173" s="189"/>
      <c r="AD173" s="189"/>
      <c r="AE173" s="189"/>
      <c r="AF173" s="189"/>
      <c r="AG173" s="189"/>
      <c r="AH173" s="189"/>
      <c r="AI173" s="189"/>
      <c r="AJ173" s="189"/>
      <c r="AK173" s="205"/>
      <c r="AL173" s="189"/>
      <c r="AM173" s="189"/>
      <c r="AN173" s="189"/>
      <c r="AO173" s="189"/>
      <c r="AP173" s="189"/>
      <c r="AQ173" s="189"/>
      <c r="AR173" s="189"/>
      <c r="AS173" s="189"/>
      <c r="AT173" s="189"/>
      <c r="AU173" s="189"/>
      <c r="AV173" s="189"/>
      <c r="AW173" s="189"/>
      <c r="AX173" s="189"/>
      <c r="AY173" s="189"/>
      <c r="AZ173" s="189"/>
      <c r="BA173" s="189"/>
      <c r="BB173" s="189"/>
      <c r="BC173" s="189"/>
      <c r="BD173" s="189"/>
      <c r="BE173" s="189"/>
      <c r="BF173" s="189"/>
      <c r="BG173" s="189"/>
      <c r="BH173" s="189"/>
      <c r="BI173" s="189"/>
      <c r="BJ173" s="189"/>
      <c r="BK173" s="189"/>
      <c r="BL173" s="189"/>
      <c r="BM173" s="189"/>
      <c r="BN173" s="189"/>
      <c r="BO173" s="189"/>
      <c r="BP173" s="189"/>
      <c r="BQ173" s="189"/>
      <c r="BR173" s="189"/>
      <c r="BS173" s="189"/>
      <c r="BT173" s="189"/>
      <c r="BU173" s="189"/>
      <c r="BV173" s="189"/>
      <c r="BW173" s="215"/>
      <c r="BX173" s="215">
        <f t="shared" si="5"/>
        <v>0</v>
      </c>
      <c r="BY173" s="189"/>
    </row>
    <row r="174" spans="1:77" ht="29.45" customHeight="1">
      <c r="A174" s="188"/>
      <c r="B174" s="188"/>
      <c r="C174" s="188"/>
      <c r="D174" s="188"/>
      <c r="E174" s="189"/>
      <c r="F174" s="189"/>
      <c r="G174" s="189"/>
      <c r="H174" s="189"/>
      <c r="I174" s="189"/>
      <c r="J174" s="189"/>
      <c r="K174" s="189"/>
      <c r="L174" s="189"/>
      <c r="M174" s="189"/>
      <c r="N174" s="189"/>
      <c r="O174" s="189"/>
      <c r="P174" s="189"/>
      <c r="Q174" s="189"/>
      <c r="R174" s="189"/>
      <c r="S174" s="189"/>
      <c r="T174" s="189"/>
      <c r="U174" s="189"/>
      <c r="V174" s="189"/>
      <c r="W174" s="189"/>
      <c r="X174" s="189"/>
      <c r="Y174" s="189"/>
      <c r="Z174" s="189"/>
      <c r="AA174" s="189"/>
      <c r="AB174" s="189"/>
      <c r="AC174" s="189"/>
      <c r="AD174" s="189"/>
      <c r="AE174" s="189"/>
      <c r="AF174" s="189"/>
      <c r="AG174" s="189"/>
      <c r="AH174" s="189"/>
      <c r="AI174" s="189"/>
      <c r="AJ174" s="189"/>
      <c r="AK174" s="205"/>
      <c r="AL174" s="189"/>
      <c r="AM174" s="189"/>
      <c r="AN174" s="189"/>
      <c r="AO174" s="189"/>
      <c r="AP174" s="189"/>
      <c r="AQ174" s="189"/>
      <c r="AR174" s="189"/>
      <c r="AS174" s="189"/>
      <c r="AT174" s="189"/>
      <c r="AU174" s="189"/>
      <c r="AV174" s="189"/>
      <c r="AW174" s="189"/>
      <c r="AX174" s="189"/>
      <c r="AY174" s="189"/>
      <c r="AZ174" s="189"/>
      <c r="BA174" s="189"/>
      <c r="BB174" s="189"/>
      <c r="BC174" s="189"/>
      <c r="BD174" s="189"/>
      <c r="BE174" s="189"/>
      <c r="BF174" s="189"/>
      <c r="BG174" s="189"/>
      <c r="BH174" s="189"/>
      <c r="BI174" s="189"/>
      <c r="BJ174" s="189"/>
      <c r="BK174" s="189"/>
      <c r="BL174" s="189"/>
      <c r="BM174" s="189"/>
      <c r="BN174" s="189"/>
      <c r="BO174" s="189"/>
      <c r="BP174" s="189"/>
      <c r="BQ174" s="189"/>
      <c r="BR174" s="189"/>
      <c r="BS174" s="189"/>
      <c r="BT174" s="189"/>
      <c r="BU174" s="189"/>
      <c r="BV174" s="189"/>
      <c r="BW174" s="215"/>
      <c r="BX174" s="215">
        <f t="shared" si="5"/>
        <v>0</v>
      </c>
      <c r="BY174" s="189"/>
    </row>
    <row r="175" spans="1:77" ht="29.45" customHeight="1">
      <c r="A175" s="188"/>
      <c r="B175" s="188"/>
      <c r="C175" s="188"/>
      <c r="D175" s="188"/>
      <c r="E175" s="189"/>
      <c r="F175" s="189"/>
      <c r="G175" s="189"/>
      <c r="H175" s="189"/>
      <c r="I175" s="189"/>
      <c r="J175" s="189"/>
      <c r="K175" s="189"/>
      <c r="L175" s="189"/>
      <c r="M175" s="189"/>
      <c r="N175" s="189"/>
      <c r="O175" s="189"/>
      <c r="P175" s="189"/>
      <c r="Q175" s="189"/>
      <c r="R175" s="189"/>
      <c r="S175" s="189"/>
      <c r="T175" s="189"/>
      <c r="U175" s="189"/>
      <c r="V175" s="189"/>
      <c r="W175" s="189"/>
      <c r="X175" s="189"/>
      <c r="Y175" s="189"/>
      <c r="Z175" s="189"/>
      <c r="AA175" s="189"/>
      <c r="AB175" s="189"/>
      <c r="AC175" s="189"/>
      <c r="AD175" s="189"/>
      <c r="AE175" s="189"/>
      <c r="AF175" s="189"/>
      <c r="AG175" s="189"/>
      <c r="AH175" s="189"/>
      <c r="AI175" s="189"/>
      <c r="AJ175" s="189"/>
      <c r="AK175" s="205"/>
      <c r="AL175" s="189"/>
      <c r="AM175" s="189"/>
      <c r="AN175" s="189"/>
      <c r="AO175" s="189"/>
      <c r="AP175" s="189"/>
      <c r="AQ175" s="189"/>
      <c r="AR175" s="189"/>
      <c r="AS175" s="189"/>
      <c r="AT175" s="189"/>
      <c r="AU175" s="189"/>
      <c r="AV175" s="189"/>
      <c r="AW175" s="189"/>
      <c r="AX175" s="189"/>
      <c r="AY175" s="189"/>
      <c r="AZ175" s="189"/>
      <c r="BA175" s="189"/>
      <c r="BB175" s="189"/>
      <c r="BC175" s="189"/>
      <c r="BD175" s="189"/>
      <c r="BE175" s="189"/>
      <c r="BF175" s="189"/>
      <c r="BG175" s="189"/>
      <c r="BH175" s="189"/>
      <c r="BI175" s="189"/>
      <c r="BJ175" s="189"/>
      <c r="BK175" s="189"/>
      <c r="BL175" s="189"/>
      <c r="BM175" s="189"/>
      <c r="BN175" s="189"/>
      <c r="BO175" s="189"/>
      <c r="BP175" s="189"/>
      <c r="BQ175" s="189"/>
      <c r="BR175" s="189"/>
      <c r="BS175" s="189"/>
      <c r="BT175" s="189"/>
      <c r="BU175" s="189"/>
      <c r="BV175" s="189"/>
      <c r="BW175" s="215"/>
      <c r="BX175" s="215">
        <f t="shared" si="5"/>
        <v>0</v>
      </c>
      <c r="BY175" s="189"/>
    </row>
    <row r="176" spans="1:77" ht="29.45" customHeight="1">
      <c r="A176" s="188"/>
      <c r="B176" s="188"/>
      <c r="C176" s="188"/>
      <c r="D176" s="188"/>
      <c r="E176" s="189"/>
      <c r="F176" s="189"/>
      <c r="G176" s="189"/>
      <c r="H176" s="189"/>
      <c r="I176" s="189"/>
      <c r="J176" s="189"/>
      <c r="K176" s="189"/>
      <c r="L176" s="189"/>
      <c r="M176" s="189"/>
      <c r="N176" s="189"/>
      <c r="O176" s="189"/>
      <c r="P176" s="189"/>
      <c r="Q176" s="189"/>
      <c r="R176" s="189"/>
      <c r="S176" s="189"/>
      <c r="T176" s="189"/>
      <c r="U176" s="189"/>
      <c r="V176" s="189"/>
      <c r="W176" s="189"/>
      <c r="X176" s="189"/>
      <c r="Y176" s="189"/>
      <c r="Z176" s="189"/>
      <c r="AA176" s="189"/>
      <c r="AB176" s="189"/>
      <c r="AC176" s="189"/>
      <c r="AD176" s="189"/>
      <c r="AE176" s="189"/>
      <c r="AF176" s="189"/>
      <c r="AG176" s="189"/>
      <c r="AH176" s="189"/>
      <c r="AI176" s="189"/>
      <c r="AJ176" s="189"/>
      <c r="AK176" s="205"/>
      <c r="AL176" s="189"/>
      <c r="AM176" s="189"/>
      <c r="AN176" s="189"/>
      <c r="AO176" s="189"/>
      <c r="AP176" s="189"/>
      <c r="AQ176" s="189"/>
      <c r="AR176" s="189"/>
      <c r="AS176" s="189"/>
      <c r="AT176" s="189"/>
      <c r="AU176" s="189"/>
      <c r="AV176" s="189"/>
      <c r="AW176" s="189"/>
      <c r="AX176" s="189"/>
      <c r="AY176" s="189"/>
      <c r="AZ176" s="189"/>
      <c r="BA176" s="189"/>
      <c r="BB176" s="189"/>
      <c r="BC176" s="189"/>
      <c r="BD176" s="189"/>
      <c r="BE176" s="189"/>
      <c r="BF176" s="189"/>
      <c r="BG176" s="189"/>
      <c r="BH176" s="189"/>
      <c r="BI176" s="189"/>
      <c r="BJ176" s="189"/>
      <c r="BK176" s="189"/>
      <c r="BL176" s="189"/>
      <c r="BM176" s="189"/>
      <c r="BN176" s="189"/>
      <c r="BO176" s="189"/>
      <c r="BP176" s="189"/>
      <c r="BQ176" s="189"/>
      <c r="BR176" s="189"/>
      <c r="BS176" s="189"/>
      <c r="BT176" s="189"/>
      <c r="BU176" s="189"/>
      <c r="BV176" s="189"/>
      <c r="BW176" s="215"/>
      <c r="BX176" s="215">
        <f t="shared" si="5"/>
        <v>0</v>
      </c>
      <c r="BY176" s="189"/>
    </row>
    <row r="177" spans="1:77" ht="29.45" customHeight="1">
      <c r="A177" s="188"/>
      <c r="B177" s="188"/>
      <c r="C177" s="188"/>
      <c r="D177" s="188"/>
      <c r="E177" s="189"/>
      <c r="F177" s="189"/>
      <c r="G177" s="189"/>
      <c r="H177" s="189"/>
      <c r="I177" s="189"/>
      <c r="J177" s="189"/>
      <c r="K177" s="189"/>
      <c r="L177" s="189"/>
      <c r="M177" s="189"/>
      <c r="N177" s="189"/>
      <c r="O177" s="189"/>
      <c r="P177" s="189"/>
      <c r="Q177" s="189"/>
      <c r="R177" s="189"/>
      <c r="S177" s="189"/>
      <c r="T177" s="189"/>
      <c r="U177" s="189"/>
      <c r="V177" s="189"/>
      <c r="W177" s="189"/>
      <c r="X177" s="189"/>
      <c r="Y177" s="189"/>
      <c r="Z177" s="189"/>
      <c r="AA177" s="189"/>
      <c r="AB177" s="189"/>
      <c r="AC177" s="189"/>
      <c r="AD177" s="189"/>
      <c r="AE177" s="189"/>
      <c r="AF177" s="189"/>
      <c r="AG177" s="189"/>
      <c r="AH177" s="189"/>
      <c r="AI177" s="189"/>
      <c r="AJ177" s="189"/>
      <c r="AK177" s="205"/>
      <c r="AL177" s="189"/>
      <c r="AM177" s="189"/>
      <c r="AN177" s="189"/>
      <c r="AO177" s="189"/>
      <c r="AP177" s="189"/>
      <c r="AQ177" s="189"/>
      <c r="AR177" s="189"/>
      <c r="AS177" s="189"/>
      <c r="AT177" s="189"/>
      <c r="AU177" s="189"/>
      <c r="AV177" s="189"/>
      <c r="AW177" s="189"/>
      <c r="AX177" s="189"/>
      <c r="AY177" s="189"/>
      <c r="AZ177" s="189"/>
      <c r="BA177" s="189"/>
      <c r="BB177" s="189"/>
      <c r="BC177" s="189"/>
      <c r="BD177" s="189"/>
      <c r="BE177" s="189"/>
      <c r="BF177" s="189"/>
      <c r="BG177" s="189"/>
      <c r="BH177" s="189"/>
      <c r="BI177" s="189"/>
      <c r="BJ177" s="189"/>
      <c r="BK177" s="189"/>
      <c r="BL177" s="189"/>
      <c r="BM177" s="189"/>
      <c r="BN177" s="189"/>
      <c r="BO177" s="189"/>
      <c r="BP177" s="189"/>
      <c r="BQ177" s="189"/>
      <c r="BR177" s="189"/>
      <c r="BS177" s="189"/>
      <c r="BT177" s="189"/>
      <c r="BU177" s="189"/>
      <c r="BV177" s="189"/>
      <c r="BW177" s="215"/>
      <c r="BX177" s="215">
        <f t="shared" si="5"/>
        <v>0</v>
      </c>
      <c r="BY177" s="189"/>
    </row>
    <row r="178" spans="1:77" ht="29.45" customHeight="1">
      <c r="A178" s="188"/>
      <c r="B178" s="188"/>
      <c r="C178" s="188"/>
      <c r="D178" s="188"/>
      <c r="E178" s="189"/>
      <c r="F178" s="189"/>
      <c r="G178" s="189"/>
      <c r="H178" s="189"/>
      <c r="I178" s="189"/>
      <c r="J178" s="189"/>
      <c r="K178" s="189"/>
      <c r="L178" s="189"/>
      <c r="M178" s="189"/>
      <c r="N178" s="189"/>
      <c r="O178" s="189"/>
      <c r="P178" s="189"/>
      <c r="Q178" s="189"/>
      <c r="R178" s="189"/>
      <c r="S178" s="189"/>
      <c r="T178" s="189"/>
      <c r="U178" s="189"/>
      <c r="V178" s="189"/>
      <c r="W178" s="189"/>
      <c r="X178" s="189"/>
      <c r="Y178" s="189"/>
      <c r="Z178" s="189"/>
      <c r="AA178" s="189"/>
      <c r="AB178" s="189"/>
      <c r="AC178" s="189"/>
      <c r="AD178" s="189"/>
      <c r="AE178" s="189"/>
      <c r="AF178" s="189"/>
      <c r="AG178" s="189"/>
      <c r="AH178" s="189"/>
      <c r="AI178" s="189"/>
      <c r="AJ178" s="189"/>
      <c r="AK178" s="205"/>
      <c r="AL178" s="189"/>
      <c r="AM178" s="189"/>
      <c r="AN178" s="189"/>
      <c r="AO178" s="189"/>
      <c r="AP178" s="189"/>
      <c r="AQ178" s="189"/>
      <c r="AR178" s="189"/>
      <c r="AS178" s="189"/>
      <c r="AT178" s="189"/>
      <c r="AU178" s="189"/>
      <c r="AV178" s="189"/>
      <c r="AW178" s="189"/>
      <c r="AX178" s="189"/>
      <c r="AY178" s="189"/>
      <c r="AZ178" s="189"/>
      <c r="BA178" s="189"/>
      <c r="BB178" s="189"/>
      <c r="BC178" s="189"/>
      <c r="BD178" s="189"/>
      <c r="BE178" s="189"/>
      <c r="BF178" s="189"/>
      <c r="BG178" s="189"/>
      <c r="BH178" s="189"/>
      <c r="BI178" s="189"/>
      <c r="BJ178" s="189"/>
      <c r="BK178" s="189"/>
      <c r="BL178" s="189"/>
      <c r="BM178" s="189"/>
      <c r="BN178" s="189"/>
      <c r="BO178" s="189"/>
      <c r="BP178" s="189"/>
      <c r="BQ178" s="189"/>
      <c r="BR178" s="189"/>
      <c r="BS178" s="189"/>
      <c r="BT178" s="189"/>
      <c r="BU178" s="189"/>
      <c r="BV178" s="189"/>
      <c r="BW178" s="215"/>
      <c r="BX178" s="215">
        <f t="shared" si="5"/>
        <v>0</v>
      </c>
      <c r="BY178" s="189"/>
    </row>
    <row r="179" spans="1:77" ht="29.45" customHeight="1">
      <c r="A179" s="188"/>
      <c r="B179" s="188"/>
      <c r="C179" s="188"/>
      <c r="D179" s="188"/>
      <c r="E179" s="189"/>
      <c r="F179" s="189"/>
      <c r="G179" s="189"/>
      <c r="H179" s="189"/>
      <c r="I179" s="189"/>
      <c r="J179" s="189"/>
      <c r="K179" s="189"/>
      <c r="L179" s="189"/>
      <c r="M179" s="189"/>
      <c r="N179" s="189"/>
      <c r="O179" s="189"/>
      <c r="P179" s="189"/>
      <c r="Q179" s="189"/>
      <c r="R179" s="189"/>
      <c r="S179" s="189"/>
      <c r="T179" s="189"/>
      <c r="U179" s="189"/>
      <c r="V179" s="189"/>
      <c r="W179" s="189"/>
      <c r="X179" s="189"/>
      <c r="Y179" s="189"/>
      <c r="Z179" s="189"/>
      <c r="AA179" s="189"/>
      <c r="AB179" s="189"/>
      <c r="AC179" s="189"/>
      <c r="AD179" s="189"/>
      <c r="AE179" s="189"/>
      <c r="AF179" s="189"/>
      <c r="AG179" s="189"/>
      <c r="AH179" s="189"/>
      <c r="AI179" s="189"/>
      <c r="AJ179" s="189"/>
      <c r="AK179" s="205"/>
      <c r="AL179" s="189"/>
      <c r="AM179" s="189"/>
      <c r="AN179" s="189"/>
      <c r="AO179" s="189"/>
      <c r="AP179" s="189"/>
      <c r="AQ179" s="189"/>
      <c r="AR179" s="189"/>
      <c r="AS179" s="189"/>
      <c r="AT179" s="189"/>
      <c r="AU179" s="189"/>
      <c r="AV179" s="189"/>
      <c r="AW179" s="189"/>
      <c r="AX179" s="189"/>
      <c r="AY179" s="189"/>
      <c r="AZ179" s="189"/>
      <c r="BA179" s="189"/>
      <c r="BB179" s="189"/>
      <c r="BC179" s="189"/>
      <c r="BD179" s="189"/>
      <c r="BE179" s="189"/>
      <c r="BF179" s="189"/>
      <c r="BG179" s="189"/>
      <c r="BH179" s="189"/>
      <c r="BI179" s="189"/>
      <c r="BJ179" s="189"/>
      <c r="BK179" s="189"/>
      <c r="BL179" s="189"/>
      <c r="BM179" s="189"/>
      <c r="BN179" s="189"/>
      <c r="BO179" s="189"/>
      <c r="BP179" s="189"/>
      <c r="BQ179" s="189"/>
      <c r="BR179" s="189"/>
      <c r="BS179" s="189"/>
      <c r="BT179" s="189"/>
      <c r="BU179" s="189"/>
      <c r="BV179" s="189"/>
      <c r="BW179" s="215"/>
      <c r="BX179" s="215">
        <f t="shared" si="5"/>
        <v>0</v>
      </c>
      <c r="BY179" s="189"/>
    </row>
    <row r="180" spans="1:77" ht="29.45" customHeight="1">
      <c r="A180" s="188"/>
      <c r="B180" s="188"/>
      <c r="C180" s="188"/>
      <c r="D180" s="188"/>
      <c r="E180" s="189"/>
      <c r="F180" s="189"/>
      <c r="G180" s="189"/>
      <c r="H180" s="189"/>
      <c r="I180" s="189"/>
      <c r="J180" s="189"/>
      <c r="K180" s="189"/>
      <c r="L180" s="189"/>
      <c r="M180" s="189"/>
      <c r="N180" s="189"/>
      <c r="O180" s="189"/>
      <c r="P180" s="189"/>
      <c r="Q180" s="189"/>
      <c r="R180" s="189"/>
      <c r="S180" s="189"/>
      <c r="T180" s="189"/>
      <c r="U180" s="189"/>
      <c r="V180" s="189"/>
      <c r="W180" s="189"/>
      <c r="X180" s="189"/>
      <c r="Y180" s="189"/>
      <c r="Z180" s="189"/>
      <c r="AA180" s="189"/>
      <c r="AB180" s="189"/>
      <c r="AC180" s="189"/>
      <c r="AD180" s="189"/>
      <c r="AE180" s="189"/>
      <c r="AF180" s="189"/>
      <c r="AG180" s="189"/>
      <c r="AH180" s="189"/>
      <c r="AI180" s="189"/>
      <c r="AJ180" s="189"/>
      <c r="AK180" s="205"/>
      <c r="AL180" s="189"/>
      <c r="AM180" s="189"/>
      <c r="AN180" s="189"/>
      <c r="AO180" s="189"/>
      <c r="AP180" s="189"/>
      <c r="AQ180" s="189"/>
      <c r="AR180" s="189"/>
      <c r="AS180" s="189"/>
      <c r="AT180" s="189"/>
      <c r="AU180" s="189"/>
      <c r="AV180" s="189"/>
      <c r="AW180" s="189"/>
      <c r="AX180" s="189"/>
      <c r="AY180" s="189"/>
      <c r="AZ180" s="189"/>
      <c r="BA180" s="189"/>
      <c r="BB180" s="189"/>
      <c r="BC180" s="189"/>
      <c r="BD180" s="189"/>
      <c r="BE180" s="189"/>
      <c r="BF180" s="189"/>
      <c r="BG180" s="189"/>
      <c r="BH180" s="189"/>
      <c r="BI180" s="189"/>
      <c r="BJ180" s="189"/>
      <c r="BK180" s="189"/>
      <c r="BL180" s="189"/>
      <c r="BM180" s="189"/>
      <c r="BN180" s="189"/>
      <c r="BO180" s="189"/>
      <c r="BP180" s="189"/>
      <c r="BQ180" s="189"/>
      <c r="BR180" s="189"/>
      <c r="BS180" s="189"/>
      <c r="BT180" s="189"/>
      <c r="BU180" s="189"/>
      <c r="BV180" s="189"/>
      <c r="BW180" s="215"/>
      <c r="BX180" s="215">
        <f t="shared" si="5"/>
        <v>0</v>
      </c>
      <c r="BY180" s="189"/>
    </row>
    <row r="181" spans="1:77" ht="29.45" customHeight="1">
      <c r="A181" s="188"/>
      <c r="B181" s="188"/>
      <c r="C181" s="188"/>
      <c r="D181" s="188"/>
      <c r="E181" s="189"/>
      <c r="F181" s="189"/>
      <c r="G181" s="189"/>
      <c r="H181" s="189"/>
      <c r="I181" s="189"/>
      <c r="J181" s="189"/>
      <c r="K181" s="189"/>
      <c r="L181" s="189"/>
      <c r="M181" s="189"/>
      <c r="N181" s="189"/>
      <c r="O181" s="189"/>
      <c r="P181" s="189"/>
      <c r="Q181" s="189"/>
      <c r="R181" s="189"/>
      <c r="S181" s="189"/>
      <c r="T181" s="189"/>
      <c r="U181" s="189"/>
      <c r="V181" s="189"/>
      <c r="W181" s="189"/>
      <c r="X181" s="189"/>
      <c r="Y181" s="189"/>
      <c r="Z181" s="189"/>
      <c r="AA181" s="189"/>
      <c r="AB181" s="189"/>
      <c r="AC181" s="189"/>
      <c r="AD181" s="189"/>
      <c r="AE181" s="189"/>
      <c r="AF181" s="189"/>
      <c r="AG181" s="189"/>
      <c r="AH181" s="189"/>
      <c r="AI181" s="189"/>
      <c r="AJ181" s="189"/>
      <c r="AK181" s="205"/>
      <c r="AL181" s="189"/>
      <c r="AM181" s="189"/>
      <c r="AN181" s="189"/>
      <c r="AO181" s="189"/>
      <c r="AP181" s="189"/>
      <c r="AQ181" s="189"/>
      <c r="AR181" s="189"/>
      <c r="AS181" s="189"/>
      <c r="AT181" s="189"/>
      <c r="AU181" s="189"/>
      <c r="AV181" s="189"/>
      <c r="AW181" s="189"/>
      <c r="AX181" s="189"/>
      <c r="AY181" s="189"/>
      <c r="AZ181" s="189"/>
      <c r="BA181" s="189"/>
      <c r="BB181" s="189"/>
      <c r="BC181" s="189"/>
      <c r="BD181" s="189"/>
      <c r="BE181" s="189"/>
      <c r="BF181" s="189"/>
      <c r="BG181" s="189"/>
      <c r="BH181" s="189"/>
      <c r="BI181" s="189"/>
      <c r="BJ181" s="189"/>
      <c r="BK181" s="189"/>
      <c r="BL181" s="189"/>
      <c r="BM181" s="189"/>
      <c r="BN181" s="189"/>
      <c r="BO181" s="189"/>
      <c r="BP181" s="189"/>
      <c r="BQ181" s="189"/>
      <c r="BR181" s="189"/>
      <c r="BS181" s="189"/>
      <c r="BT181" s="189"/>
      <c r="BU181" s="189"/>
      <c r="BV181" s="189"/>
      <c r="BW181" s="215"/>
      <c r="BX181" s="215">
        <f t="shared" si="5"/>
        <v>0</v>
      </c>
      <c r="BY181" s="189"/>
    </row>
    <row r="182" spans="1:77" ht="29.45" customHeight="1">
      <c r="A182" s="188"/>
      <c r="B182" s="188"/>
      <c r="C182" s="188"/>
      <c r="D182" s="188"/>
      <c r="E182" s="189"/>
      <c r="F182" s="189"/>
      <c r="G182" s="189"/>
      <c r="H182" s="189"/>
      <c r="I182" s="189"/>
      <c r="J182" s="189"/>
      <c r="K182" s="189"/>
      <c r="L182" s="189"/>
      <c r="M182" s="189"/>
      <c r="N182" s="189"/>
      <c r="O182" s="189"/>
      <c r="P182" s="189"/>
      <c r="Q182" s="189"/>
      <c r="R182" s="189"/>
      <c r="S182" s="189"/>
      <c r="T182" s="189"/>
      <c r="U182" s="189"/>
      <c r="V182" s="189"/>
      <c r="W182" s="189"/>
      <c r="X182" s="189"/>
      <c r="Y182" s="189"/>
      <c r="Z182" s="189"/>
      <c r="AA182" s="189"/>
      <c r="AB182" s="189"/>
      <c r="AC182" s="189"/>
      <c r="AD182" s="189"/>
      <c r="AE182" s="189"/>
      <c r="AF182" s="189"/>
      <c r="AG182" s="189"/>
      <c r="AH182" s="189"/>
      <c r="AI182" s="189"/>
      <c r="AJ182" s="189"/>
      <c r="AK182" s="205"/>
      <c r="AL182" s="189"/>
      <c r="AM182" s="189"/>
      <c r="AN182" s="189"/>
      <c r="AO182" s="189"/>
      <c r="AP182" s="189"/>
      <c r="AQ182" s="189"/>
      <c r="AR182" s="189"/>
      <c r="AS182" s="189"/>
      <c r="AT182" s="189"/>
      <c r="AU182" s="189"/>
      <c r="AV182" s="189"/>
      <c r="AW182" s="189"/>
      <c r="AX182" s="189"/>
      <c r="AY182" s="189"/>
      <c r="AZ182" s="189"/>
      <c r="BA182" s="189"/>
      <c r="BB182" s="189"/>
      <c r="BC182" s="189"/>
      <c r="BD182" s="189"/>
      <c r="BE182" s="189"/>
      <c r="BF182" s="189"/>
      <c r="BG182" s="189"/>
      <c r="BH182" s="189"/>
      <c r="BI182" s="189"/>
      <c r="BJ182" s="189"/>
      <c r="BK182" s="189"/>
      <c r="BL182" s="189"/>
      <c r="BM182" s="189"/>
      <c r="BN182" s="189"/>
      <c r="BO182" s="189"/>
      <c r="BP182" s="189"/>
      <c r="BQ182" s="189"/>
      <c r="BR182" s="189"/>
      <c r="BS182" s="189"/>
      <c r="BT182" s="189"/>
      <c r="BU182" s="189"/>
      <c r="BV182" s="189"/>
      <c r="BW182" s="215"/>
      <c r="BX182" s="215">
        <f t="shared" si="5"/>
        <v>0</v>
      </c>
      <c r="BY182" s="189"/>
    </row>
    <row r="183" spans="1:77" ht="29.45" customHeight="1">
      <c r="A183" s="188"/>
      <c r="B183" s="188"/>
      <c r="C183" s="188"/>
      <c r="D183" s="188"/>
      <c r="E183" s="189"/>
      <c r="F183" s="189"/>
      <c r="G183" s="189"/>
      <c r="H183" s="189"/>
      <c r="I183" s="189"/>
      <c r="J183" s="189"/>
      <c r="K183" s="189"/>
      <c r="L183" s="189"/>
      <c r="M183" s="189"/>
      <c r="N183" s="189"/>
      <c r="O183" s="189"/>
      <c r="P183" s="189"/>
      <c r="Q183" s="189"/>
      <c r="R183" s="189"/>
      <c r="S183" s="189"/>
      <c r="T183" s="189"/>
      <c r="U183" s="189"/>
      <c r="V183" s="189"/>
      <c r="W183" s="189"/>
      <c r="X183" s="189"/>
      <c r="Y183" s="189"/>
      <c r="Z183" s="189"/>
      <c r="AA183" s="189"/>
      <c r="AB183" s="189"/>
      <c r="AC183" s="189"/>
      <c r="AD183" s="189"/>
      <c r="AE183" s="189"/>
      <c r="AF183" s="189"/>
      <c r="AG183" s="189"/>
      <c r="AH183" s="189"/>
      <c r="AI183" s="189"/>
      <c r="AJ183" s="189"/>
      <c r="AK183" s="205"/>
      <c r="AL183" s="189"/>
      <c r="AM183" s="189"/>
      <c r="AN183" s="189"/>
      <c r="AO183" s="189"/>
      <c r="AP183" s="189"/>
      <c r="AQ183" s="189"/>
      <c r="AR183" s="189"/>
      <c r="AS183" s="189"/>
      <c r="AT183" s="189"/>
      <c r="AU183" s="189"/>
      <c r="AV183" s="189"/>
      <c r="AW183" s="189"/>
      <c r="AX183" s="189"/>
      <c r="AY183" s="189"/>
      <c r="AZ183" s="189"/>
      <c r="BA183" s="189"/>
      <c r="BB183" s="189"/>
      <c r="BC183" s="189"/>
      <c r="BD183" s="189"/>
      <c r="BE183" s="189"/>
      <c r="BF183" s="189"/>
      <c r="BG183" s="189"/>
      <c r="BH183" s="189"/>
      <c r="BI183" s="189"/>
      <c r="BJ183" s="189"/>
      <c r="BK183" s="189"/>
      <c r="BL183" s="189"/>
      <c r="BM183" s="189"/>
      <c r="BN183" s="189"/>
      <c r="BO183" s="189"/>
      <c r="BP183" s="189"/>
      <c r="BQ183" s="189"/>
      <c r="BR183" s="189"/>
      <c r="BS183" s="189"/>
      <c r="BT183" s="189"/>
      <c r="BU183" s="189"/>
      <c r="BV183" s="189"/>
      <c r="BW183" s="215"/>
      <c r="BX183" s="215">
        <f t="shared" si="5"/>
        <v>0</v>
      </c>
      <c r="BY183" s="189"/>
    </row>
    <row r="184" spans="1:77" ht="29.45" customHeight="1">
      <c r="A184" s="188"/>
      <c r="B184" s="188"/>
      <c r="C184" s="188"/>
      <c r="D184" s="188"/>
      <c r="E184" s="189"/>
      <c r="F184" s="189"/>
      <c r="G184" s="189"/>
      <c r="H184" s="189"/>
      <c r="I184" s="189"/>
      <c r="J184" s="189"/>
      <c r="K184" s="189"/>
      <c r="L184" s="189"/>
      <c r="M184" s="189"/>
      <c r="N184" s="189"/>
      <c r="O184" s="189"/>
      <c r="P184" s="189"/>
      <c r="Q184" s="189"/>
      <c r="R184" s="189"/>
      <c r="S184" s="189"/>
      <c r="T184" s="189"/>
      <c r="U184" s="189"/>
      <c r="V184" s="189"/>
      <c r="W184" s="189"/>
      <c r="X184" s="189"/>
      <c r="Y184" s="189"/>
      <c r="Z184" s="189"/>
      <c r="AA184" s="189"/>
      <c r="AB184" s="189"/>
      <c r="AC184" s="189"/>
      <c r="AD184" s="189"/>
      <c r="AE184" s="189"/>
      <c r="AF184" s="189"/>
      <c r="AG184" s="189"/>
      <c r="AH184" s="189"/>
      <c r="AI184" s="189"/>
      <c r="AJ184" s="189"/>
      <c r="AK184" s="205"/>
      <c r="AL184" s="189"/>
      <c r="AM184" s="189"/>
      <c r="AN184" s="189"/>
      <c r="AO184" s="189"/>
      <c r="AP184" s="189"/>
      <c r="AQ184" s="189"/>
      <c r="AR184" s="189"/>
      <c r="AS184" s="189"/>
      <c r="AT184" s="189"/>
      <c r="AU184" s="189"/>
      <c r="AV184" s="189"/>
      <c r="AW184" s="189"/>
      <c r="AX184" s="189"/>
      <c r="AY184" s="189"/>
      <c r="AZ184" s="189"/>
      <c r="BA184" s="189"/>
      <c r="BB184" s="189"/>
      <c r="BC184" s="189"/>
      <c r="BD184" s="189"/>
      <c r="BE184" s="189"/>
      <c r="BF184" s="189"/>
      <c r="BG184" s="189"/>
      <c r="BH184" s="189"/>
      <c r="BI184" s="189"/>
      <c r="BJ184" s="189"/>
      <c r="BK184" s="189"/>
      <c r="BL184" s="189"/>
      <c r="BM184" s="189"/>
      <c r="BN184" s="189"/>
      <c r="BO184" s="189"/>
      <c r="BP184" s="189"/>
      <c r="BQ184" s="189"/>
      <c r="BR184" s="189"/>
      <c r="BS184" s="189"/>
      <c r="BT184" s="189"/>
      <c r="BU184" s="189"/>
      <c r="BV184" s="189"/>
      <c r="BW184" s="215"/>
      <c r="BX184" s="215">
        <f t="shared" si="5"/>
        <v>0</v>
      </c>
      <c r="BY184" s="189"/>
    </row>
    <row r="185" spans="1:77" ht="29.45" customHeight="1">
      <c r="A185" s="188"/>
      <c r="B185" s="188"/>
      <c r="C185" s="188"/>
      <c r="D185" s="188"/>
      <c r="E185" s="189"/>
      <c r="F185" s="189"/>
      <c r="G185" s="189"/>
      <c r="H185" s="189"/>
      <c r="I185" s="189"/>
      <c r="J185" s="189"/>
      <c r="K185" s="189"/>
      <c r="L185" s="189"/>
      <c r="M185" s="189"/>
      <c r="N185" s="189"/>
      <c r="O185" s="189"/>
      <c r="P185" s="189"/>
      <c r="Q185" s="189"/>
      <c r="R185" s="189"/>
      <c r="S185" s="189"/>
      <c r="T185" s="189"/>
      <c r="U185" s="189"/>
      <c r="V185" s="189"/>
      <c r="W185" s="189"/>
      <c r="X185" s="189"/>
      <c r="Y185" s="189"/>
      <c r="Z185" s="189"/>
      <c r="AA185" s="189"/>
      <c r="AB185" s="189"/>
      <c r="AC185" s="189"/>
      <c r="AD185" s="189"/>
      <c r="AE185" s="189"/>
      <c r="AF185" s="189"/>
      <c r="AG185" s="189"/>
      <c r="AH185" s="189"/>
      <c r="AI185" s="189"/>
      <c r="AJ185" s="189"/>
      <c r="AK185" s="205"/>
      <c r="AL185" s="189"/>
      <c r="AM185" s="189"/>
      <c r="AN185" s="189"/>
      <c r="AO185" s="189"/>
      <c r="AP185" s="189"/>
      <c r="AQ185" s="189"/>
      <c r="AR185" s="189"/>
      <c r="AS185" s="189"/>
      <c r="AT185" s="189"/>
      <c r="AU185" s="189"/>
      <c r="AV185" s="189"/>
      <c r="AW185" s="189"/>
      <c r="AX185" s="189"/>
      <c r="AY185" s="189"/>
      <c r="AZ185" s="189"/>
      <c r="BA185" s="189"/>
      <c r="BB185" s="189"/>
      <c r="BC185" s="189"/>
      <c r="BD185" s="189"/>
      <c r="BE185" s="189"/>
      <c r="BF185" s="189"/>
      <c r="BG185" s="189"/>
      <c r="BH185" s="189"/>
      <c r="BI185" s="189"/>
      <c r="BJ185" s="189"/>
      <c r="BK185" s="189"/>
      <c r="BL185" s="189"/>
      <c r="BM185" s="189"/>
      <c r="BN185" s="189"/>
      <c r="BO185" s="189"/>
      <c r="BP185" s="189"/>
      <c r="BQ185" s="189"/>
      <c r="BR185" s="189"/>
      <c r="BS185" s="189"/>
      <c r="BT185" s="189"/>
      <c r="BU185" s="189"/>
      <c r="BV185" s="189"/>
      <c r="BW185" s="215"/>
      <c r="BX185" s="215">
        <f t="shared" si="5"/>
        <v>0</v>
      </c>
      <c r="BY185" s="189"/>
    </row>
    <row r="186" spans="1:77" ht="29.45" customHeight="1">
      <c r="A186" s="188"/>
      <c r="B186" s="188"/>
      <c r="C186" s="188"/>
      <c r="D186" s="188"/>
      <c r="E186" s="189"/>
      <c r="F186" s="189"/>
      <c r="G186" s="189"/>
      <c r="H186" s="189"/>
      <c r="I186" s="189"/>
      <c r="J186" s="189"/>
      <c r="K186" s="189"/>
      <c r="L186" s="189"/>
      <c r="M186" s="189"/>
      <c r="N186" s="189"/>
      <c r="O186" s="189"/>
      <c r="P186" s="189"/>
      <c r="Q186" s="189"/>
      <c r="R186" s="189"/>
      <c r="S186" s="189"/>
      <c r="T186" s="189"/>
      <c r="U186" s="189"/>
      <c r="V186" s="189"/>
      <c r="W186" s="189"/>
      <c r="X186" s="189"/>
      <c r="Y186" s="189"/>
      <c r="Z186" s="189"/>
      <c r="AA186" s="189"/>
      <c r="AB186" s="189"/>
      <c r="AC186" s="189"/>
      <c r="AD186" s="189"/>
      <c r="AE186" s="189"/>
      <c r="AF186" s="189"/>
      <c r="AG186" s="189"/>
      <c r="AH186" s="189"/>
      <c r="AI186" s="189"/>
      <c r="AJ186" s="189"/>
      <c r="AK186" s="205"/>
      <c r="AL186" s="189"/>
      <c r="AM186" s="189"/>
      <c r="AN186" s="189"/>
      <c r="AO186" s="189"/>
      <c r="AP186" s="189"/>
      <c r="AQ186" s="189"/>
      <c r="AR186" s="189"/>
      <c r="AS186" s="189"/>
      <c r="AT186" s="189"/>
      <c r="AU186" s="189"/>
      <c r="AV186" s="189"/>
      <c r="AW186" s="189"/>
      <c r="AX186" s="189"/>
      <c r="AY186" s="189"/>
      <c r="AZ186" s="189"/>
      <c r="BA186" s="189"/>
      <c r="BB186" s="189"/>
      <c r="BC186" s="189"/>
      <c r="BD186" s="189"/>
      <c r="BE186" s="189"/>
      <c r="BF186" s="189"/>
      <c r="BG186" s="189"/>
      <c r="BH186" s="189"/>
      <c r="BI186" s="189"/>
      <c r="BJ186" s="189"/>
      <c r="BK186" s="189"/>
      <c r="BL186" s="189"/>
      <c r="BM186" s="189"/>
      <c r="BN186" s="189"/>
      <c r="BO186" s="189"/>
      <c r="BP186" s="189"/>
      <c r="BQ186" s="189"/>
      <c r="BR186" s="189"/>
      <c r="BS186" s="189"/>
      <c r="BT186" s="189"/>
      <c r="BU186" s="189"/>
      <c r="BV186" s="189"/>
      <c r="BW186" s="215"/>
      <c r="BX186" s="215">
        <f t="shared" si="5"/>
        <v>0</v>
      </c>
      <c r="BY186" s="189"/>
    </row>
    <row r="187" spans="1:77" ht="29.45" customHeight="1">
      <c r="A187" s="188"/>
      <c r="B187" s="188"/>
      <c r="C187" s="188"/>
      <c r="D187" s="188"/>
      <c r="E187" s="189"/>
      <c r="F187" s="189"/>
      <c r="G187" s="189"/>
      <c r="H187" s="189"/>
      <c r="I187" s="189"/>
      <c r="J187" s="189"/>
      <c r="K187" s="189"/>
      <c r="L187" s="189"/>
      <c r="M187" s="189"/>
      <c r="N187" s="189"/>
      <c r="O187" s="189"/>
      <c r="P187" s="189"/>
      <c r="Q187" s="189"/>
      <c r="R187" s="189"/>
      <c r="S187" s="189"/>
      <c r="T187" s="189"/>
      <c r="U187" s="189"/>
      <c r="V187" s="189"/>
      <c r="W187" s="189"/>
      <c r="X187" s="189"/>
      <c r="Y187" s="189"/>
      <c r="Z187" s="189"/>
      <c r="AA187" s="189"/>
      <c r="AB187" s="189"/>
      <c r="AC187" s="189"/>
      <c r="AD187" s="189"/>
      <c r="AE187" s="189"/>
      <c r="AF187" s="189"/>
      <c r="AG187" s="189"/>
      <c r="AH187" s="189"/>
      <c r="AI187" s="189"/>
      <c r="AJ187" s="189"/>
      <c r="AK187" s="205"/>
      <c r="AL187" s="189"/>
      <c r="AM187" s="189"/>
      <c r="AN187" s="189"/>
      <c r="AO187" s="189"/>
      <c r="AP187" s="189"/>
      <c r="AQ187" s="189"/>
      <c r="AR187" s="189"/>
      <c r="AS187" s="189"/>
      <c r="AT187" s="189"/>
      <c r="AU187" s="189"/>
      <c r="AV187" s="189"/>
      <c r="AW187" s="189"/>
      <c r="AX187" s="189"/>
      <c r="AY187" s="189"/>
      <c r="AZ187" s="189"/>
      <c r="BA187" s="189"/>
      <c r="BB187" s="189"/>
      <c r="BC187" s="189"/>
      <c r="BD187" s="189"/>
      <c r="BE187" s="189"/>
      <c r="BF187" s="189"/>
      <c r="BG187" s="189"/>
      <c r="BH187" s="189"/>
      <c r="BI187" s="189"/>
      <c r="BJ187" s="189"/>
      <c r="BK187" s="189"/>
      <c r="BL187" s="189"/>
      <c r="BM187" s="189"/>
      <c r="BN187" s="189"/>
      <c r="BO187" s="189"/>
      <c r="BP187" s="189"/>
      <c r="BQ187" s="189"/>
      <c r="BR187" s="189"/>
      <c r="BS187" s="189"/>
      <c r="BT187" s="189"/>
      <c r="BU187" s="189"/>
      <c r="BV187" s="189"/>
      <c r="BW187" s="215"/>
      <c r="BX187" s="215">
        <f t="shared" si="5"/>
        <v>0</v>
      </c>
      <c r="BY187" s="189"/>
    </row>
    <row r="188" spans="1:77" ht="29.45" customHeight="1">
      <c r="A188" s="188"/>
      <c r="B188" s="188"/>
      <c r="C188" s="188"/>
      <c r="D188" s="188"/>
      <c r="E188" s="189"/>
      <c r="F188" s="189"/>
      <c r="G188" s="189"/>
      <c r="H188" s="189"/>
      <c r="I188" s="189"/>
      <c r="J188" s="189"/>
      <c r="K188" s="189"/>
      <c r="L188" s="189"/>
      <c r="M188" s="189"/>
      <c r="N188" s="189"/>
      <c r="O188" s="189"/>
      <c r="P188" s="189"/>
      <c r="Q188" s="189"/>
      <c r="R188" s="189"/>
      <c r="S188" s="189"/>
      <c r="T188" s="189"/>
      <c r="U188" s="189"/>
      <c r="V188" s="189"/>
      <c r="W188" s="189"/>
      <c r="X188" s="189"/>
      <c r="Y188" s="189"/>
      <c r="Z188" s="189"/>
      <c r="AA188" s="189"/>
      <c r="AB188" s="189"/>
      <c r="AC188" s="189"/>
      <c r="AD188" s="189"/>
      <c r="AE188" s="189"/>
      <c r="AF188" s="189"/>
      <c r="AG188" s="189"/>
      <c r="AH188" s="189"/>
      <c r="AI188" s="189"/>
      <c r="AJ188" s="189"/>
      <c r="AK188" s="205"/>
      <c r="AL188" s="189"/>
      <c r="AM188" s="189"/>
      <c r="AN188" s="189"/>
      <c r="AO188" s="189"/>
      <c r="AP188" s="189"/>
      <c r="AQ188" s="189"/>
      <c r="AR188" s="189"/>
      <c r="AS188" s="189"/>
      <c r="AT188" s="189"/>
      <c r="AU188" s="189"/>
      <c r="AV188" s="189"/>
      <c r="AW188" s="189"/>
      <c r="AX188" s="189"/>
      <c r="AY188" s="189"/>
      <c r="AZ188" s="189"/>
      <c r="BA188" s="189"/>
      <c r="BB188" s="189"/>
      <c r="BC188" s="189"/>
      <c r="BD188" s="189"/>
      <c r="BE188" s="189"/>
      <c r="BF188" s="189"/>
      <c r="BG188" s="189"/>
      <c r="BH188" s="189"/>
      <c r="BI188" s="189"/>
      <c r="BJ188" s="189"/>
      <c r="BK188" s="189"/>
      <c r="BL188" s="189"/>
      <c r="BM188" s="189"/>
      <c r="BN188" s="189"/>
      <c r="BO188" s="189"/>
      <c r="BP188" s="189"/>
      <c r="BQ188" s="189"/>
      <c r="BR188" s="189"/>
      <c r="BS188" s="189"/>
      <c r="BT188" s="189"/>
      <c r="BU188" s="189"/>
      <c r="BV188" s="189"/>
      <c r="BW188" s="215"/>
      <c r="BX188" s="215">
        <f t="shared" si="5"/>
        <v>0</v>
      </c>
      <c r="BY188" s="189"/>
    </row>
    <row r="189" spans="1:77" ht="29.45" customHeight="1">
      <c r="A189" s="188"/>
      <c r="B189" s="188"/>
      <c r="C189" s="188"/>
      <c r="D189" s="188"/>
      <c r="E189" s="189"/>
      <c r="F189" s="189"/>
      <c r="G189" s="189"/>
      <c r="H189" s="189"/>
      <c r="I189" s="189"/>
      <c r="J189" s="189"/>
      <c r="K189" s="189"/>
      <c r="L189" s="189"/>
      <c r="M189" s="189"/>
      <c r="N189" s="189"/>
      <c r="O189" s="189"/>
      <c r="P189" s="189"/>
      <c r="Q189" s="189"/>
      <c r="R189" s="189"/>
      <c r="S189" s="189"/>
      <c r="T189" s="189"/>
      <c r="U189" s="189"/>
      <c r="V189" s="189"/>
      <c r="W189" s="189"/>
      <c r="X189" s="189"/>
      <c r="Y189" s="189"/>
      <c r="Z189" s="189"/>
      <c r="AA189" s="189"/>
      <c r="AB189" s="189"/>
      <c r="AC189" s="189"/>
      <c r="AD189" s="189"/>
      <c r="AE189" s="189"/>
      <c r="AF189" s="189"/>
      <c r="AG189" s="189"/>
      <c r="AH189" s="189"/>
      <c r="AI189" s="189"/>
      <c r="AJ189" s="189"/>
      <c r="AK189" s="205"/>
      <c r="AL189" s="189"/>
      <c r="AM189" s="189"/>
      <c r="AN189" s="189"/>
      <c r="AO189" s="189"/>
      <c r="AP189" s="189"/>
      <c r="AQ189" s="189"/>
      <c r="AR189" s="189"/>
      <c r="AS189" s="189"/>
      <c r="AT189" s="189"/>
      <c r="AU189" s="189"/>
      <c r="AV189" s="189"/>
      <c r="AW189" s="189"/>
      <c r="AX189" s="189"/>
      <c r="AY189" s="189"/>
      <c r="AZ189" s="189"/>
      <c r="BA189" s="189"/>
      <c r="BB189" s="189"/>
      <c r="BC189" s="189"/>
      <c r="BD189" s="189"/>
      <c r="BE189" s="189"/>
      <c r="BF189" s="189"/>
      <c r="BG189" s="189"/>
      <c r="BH189" s="189"/>
      <c r="BI189" s="189"/>
      <c r="BJ189" s="189"/>
      <c r="BK189" s="189"/>
      <c r="BL189" s="189"/>
      <c r="BM189" s="189"/>
      <c r="BN189" s="189"/>
      <c r="BO189" s="189"/>
      <c r="BP189" s="189"/>
      <c r="BQ189" s="189"/>
      <c r="BR189" s="189"/>
      <c r="BS189" s="189"/>
      <c r="BT189" s="189"/>
      <c r="BU189" s="189"/>
      <c r="BV189" s="189"/>
      <c r="BW189" s="215"/>
      <c r="BX189" s="215">
        <f t="shared" si="5"/>
        <v>0</v>
      </c>
      <c r="BY189" s="189"/>
    </row>
    <row r="190" spans="1:77" ht="29.45" customHeight="1">
      <c r="A190" s="188"/>
      <c r="B190" s="188"/>
      <c r="C190" s="188"/>
      <c r="D190" s="188"/>
      <c r="E190" s="189"/>
      <c r="F190" s="189"/>
      <c r="G190" s="189"/>
      <c r="H190" s="189"/>
      <c r="I190" s="189"/>
      <c r="J190" s="189"/>
      <c r="K190" s="189"/>
      <c r="L190" s="189"/>
      <c r="M190" s="189"/>
      <c r="N190" s="189"/>
      <c r="O190" s="189"/>
      <c r="P190" s="189"/>
      <c r="Q190" s="189"/>
      <c r="R190" s="189"/>
      <c r="S190" s="189"/>
      <c r="T190" s="189"/>
      <c r="U190" s="189"/>
      <c r="V190" s="189"/>
      <c r="W190" s="189"/>
      <c r="X190" s="189"/>
      <c r="Y190" s="189"/>
      <c r="Z190" s="189"/>
      <c r="AA190" s="189"/>
      <c r="AB190" s="189"/>
      <c r="AC190" s="189"/>
      <c r="AD190" s="189"/>
      <c r="AE190" s="189"/>
      <c r="AF190" s="189"/>
      <c r="AG190" s="189"/>
      <c r="AH190" s="189"/>
      <c r="AI190" s="189"/>
      <c r="AJ190" s="189"/>
      <c r="AK190" s="205"/>
      <c r="AL190" s="189"/>
      <c r="AM190" s="189"/>
      <c r="AN190" s="189"/>
      <c r="AO190" s="189"/>
      <c r="AP190" s="189"/>
      <c r="AQ190" s="189"/>
      <c r="AR190" s="189"/>
      <c r="AS190" s="189"/>
      <c r="AT190" s="189"/>
      <c r="AU190" s="189"/>
      <c r="AV190" s="189"/>
      <c r="AW190" s="189"/>
      <c r="AX190" s="189"/>
      <c r="AY190" s="189"/>
      <c r="AZ190" s="189"/>
      <c r="BA190" s="189"/>
      <c r="BB190" s="189"/>
      <c r="BC190" s="189"/>
      <c r="BD190" s="189"/>
      <c r="BE190" s="189"/>
      <c r="BF190" s="189"/>
      <c r="BG190" s="189"/>
      <c r="BH190" s="189"/>
      <c r="BI190" s="189"/>
      <c r="BJ190" s="189"/>
      <c r="BK190" s="189"/>
      <c r="BL190" s="189"/>
      <c r="BM190" s="189"/>
      <c r="BN190" s="189"/>
      <c r="BO190" s="189"/>
      <c r="BP190" s="189"/>
      <c r="BQ190" s="189"/>
      <c r="BR190" s="189"/>
      <c r="BS190" s="189"/>
      <c r="BT190" s="189"/>
      <c r="BU190" s="189"/>
      <c r="BV190" s="189"/>
      <c r="BW190" s="215"/>
      <c r="BX190" s="215">
        <f t="shared" si="5"/>
        <v>0</v>
      </c>
      <c r="BY190" s="189"/>
    </row>
    <row r="191" spans="1:77" ht="29.45" customHeight="1">
      <c r="A191" s="188"/>
      <c r="B191" s="188"/>
      <c r="C191" s="188"/>
      <c r="D191" s="188"/>
      <c r="E191" s="189"/>
      <c r="F191" s="189"/>
      <c r="G191" s="189"/>
      <c r="H191" s="189"/>
      <c r="I191" s="189"/>
      <c r="J191" s="189"/>
      <c r="K191" s="189"/>
      <c r="L191" s="189"/>
      <c r="M191" s="189"/>
      <c r="N191" s="189"/>
      <c r="O191" s="189"/>
      <c r="P191" s="189"/>
      <c r="Q191" s="189"/>
      <c r="R191" s="189"/>
      <c r="S191" s="189"/>
      <c r="T191" s="189"/>
      <c r="U191" s="189"/>
      <c r="V191" s="189"/>
      <c r="W191" s="189"/>
      <c r="X191" s="189"/>
      <c r="Y191" s="189"/>
      <c r="Z191" s="189"/>
      <c r="AA191" s="189"/>
      <c r="AB191" s="189"/>
      <c r="AC191" s="189"/>
      <c r="AD191" s="189"/>
      <c r="AE191" s="189"/>
      <c r="AF191" s="189"/>
      <c r="AG191" s="189"/>
      <c r="AH191" s="189"/>
      <c r="AI191" s="189"/>
      <c r="AJ191" s="189"/>
      <c r="AK191" s="205"/>
      <c r="AL191" s="189"/>
      <c r="AM191" s="189"/>
      <c r="AN191" s="189"/>
      <c r="AO191" s="189"/>
      <c r="AP191" s="189"/>
      <c r="AQ191" s="189"/>
      <c r="AR191" s="189"/>
      <c r="AS191" s="189"/>
      <c r="AT191" s="189"/>
      <c r="AU191" s="189"/>
      <c r="AV191" s="189"/>
      <c r="AW191" s="189"/>
      <c r="AX191" s="189"/>
      <c r="AY191" s="189"/>
      <c r="AZ191" s="189"/>
      <c r="BA191" s="189"/>
      <c r="BB191" s="189"/>
      <c r="BC191" s="189"/>
      <c r="BD191" s="189"/>
      <c r="BE191" s="189"/>
      <c r="BF191" s="189"/>
      <c r="BG191" s="189"/>
      <c r="BH191" s="189"/>
      <c r="BI191" s="189"/>
      <c r="BJ191" s="189"/>
      <c r="BK191" s="189"/>
      <c r="BL191" s="189"/>
      <c r="BM191" s="189"/>
      <c r="BN191" s="189"/>
      <c r="BO191" s="189"/>
      <c r="BP191" s="189"/>
      <c r="BQ191" s="189"/>
      <c r="BR191" s="189"/>
      <c r="BS191" s="189"/>
      <c r="BT191" s="189"/>
      <c r="BU191" s="189"/>
      <c r="BV191" s="189"/>
      <c r="BW191" s="215"/>
      <c r="BX191" s="215">
        <f t="shared" si="5"/>
        <v>0</v>
      </c>
      <c r="BY191" s="189"/>
    </row>
    <row r="192" spans="1:77" ht="29.45" customHeight="1">
      <c r="A192" s="188"/>
      <c r="B192" s="188"/>
      <c r="C192" s="188"/>
      <c r="D192" s="188"/>
      <c r="E192" s="189"/>
      <c r="F192" s="189"/>
      <c r="G192" s="189"/>
      <c r="H192" s="189"/>
      <c r="I192" s="189"/>
      <c r="J192" s="189"/>
      <c r="K192" s="189"/>
      <c r="L192" s="189"/>
      <c r="M192" s="189"/>
      <c r="N192" s="189"/>
      <c r="O192" s="189"/>
      <c r="P192" s="189"/>
      <c r="Q192" s="189"/>
      <c r="R192" s="189"/>
      <c r="S192" s="189"/>
      <c r="T192" s="189"/>
      <c r="U192" s="189"/>
      <c r="V192" s="189"/>
      <c r="W192" s="189"/>
      <c r="X192" s="189"/>
      <c r="Y192" s="189"/>
      <c r="Z192" s="189"/>
      <c r="AA192" s="189"/>
      <c r="AB192" s="189"/>
      <c r="AC192" s="189"/>
      <c r="AD192" s="189"/>
      <c r="AE192" s="189"/>
      <c r="AF192" s="189"/>
      <c r="AG192" s="189"/>
      <c r="AH192" s="189"/>
      <c r="AI192" s="189"/>
      <c r="AJ192" s="189"/>
      <c r="AK192" s="205"/>
      <c r="AL192" s="189"/>
      <c r="AM192" s="189"/>
      <c r="AN192" s="189"/>
      <c r="AO192" s="189"/>
      <c r="AP192" s="189"/>
      <c r="AQ192" s="189"/>
      <c r="AR192" s="189"/>
      <c r="AS192" s="189"/>
      <c r="AT192" s="189"/>
      <c r="AU192" s="189"/>
      <c r="AV192" s="189"/>
      <c r="AW192" s="189"/>
      <c r="AX192" s="189"/>
      <c r="AY192" s="189"/>
      <c r="AZ192" s="189"/>
      <c r="BA192" s="189"/>
      <c r="BB192" s="189"/>
      <c r="BC192" s="189"/>
      <c r="BD192" s="189"/>
      <c r="BE192" s="189"/>
      <c r="BF192" s="189"/>
      <c r="BG192" s="189"/>
      <c r="BH192" s="189"/>
      <c r="BI192" s="189"/>
      <c r="BJ192" s="189"/>
      <c r="BK192" s="189"/>
      <c r="BL192" s="189"/>
      <c r="BM192" s="189"/>
      <c r="BN192" s="189"/>
      <c r="BO192" s="189"/>
      <c r="BP192" s="189"/>
      <c r="BQ192" s="189"/>
      <c r="BR192" s="189"/>
      <c r="BS192" s="189"/>
      <c r="BT192" s="189"/>
      <c r="BU192" s="189"/>
      <c r="BV192" s="189"/>
      <c r="BW192" s="215"/>
      <c r="BX192" s="215">
        <f t="shared" si="5"/>
        <v>0</v>
      </c>
      <c r="BY192" s="189"/>
    </row>
    <row r="193" spans="1:77" ht="29.45" customHeight="1">
      <c r="A193" s="188"/>
      <c r="B193" s="188"/>
      <c r="C193" s="188"/>
      <c r="D193" s="188"/>
      <c r="E193" s="189"/>
      <c r="F193" s="189"/>
      <c r="G193" s="189"/>
      <c r="H193" s="189"/>
      <c r="I193" s="189"/>
      <c r="J193" s="189"/>
      <c r="K193" s="189"/>
      <c r="L193" s="189"/>
      <c r="M193" s="189"/>
      <c r="N193" s="189"/>
      <c r="O193" s="189"/>
      <c r="P193" s="189"/>
      <c r="Q193" s="189"/>
      <c r="R193" s="189"/>
      <c r="S193" s="189"/>
      <c r="T193" s="189"/>
      <c r="U193" s="189"/>
      <c r="V193" s="189"/>
      <c r="W193" s="189"/>
      <c r="X193" s="189"/>
      <c r="Y193" s="189"/>
      <c r="Z193" s="189"/>
      <c r="AA193" s="189"/>
      <c r="AB193" s="189"/>
      <c r="AC193" s="189"/>
      <c r="AD193" s="189"/>
      <c r="AE193" s="189"/>
      <c r="AF193" s="189"/>
      <c r="AG193" s="189"/>
      <c r="AH193" s="189"/>
      <c r="AI193" s="189"/>
      <c r="AJ193" s="189"/>
      <c r="AK193" s="205"/>
      <c r="AL193" s="189"/>
      <c r="AM193" s="189"/>
      <c r="AN193" s="189"/>
      <c r="AO193" s="189"/>
      <c r="AP193" s="189"/>
      <c r="AQ193" s="189"/>
      <c r="AR193" s="189"/>
      <c r="AS193" s="189"/>
      <c r="AT193" s="189"/>
      <c r="AU193" s="189"/>
      <c r="AV193" s="189"/>
      <c r="AW193" s="189"/>
      <c r="AX193" s="189"/>
      <c r="AY193" s="189"/>
      <c r="AZ193" s="189"/>
      <c r="BA193" s="189"/>
      <c r="BB193" s="189"/>
      <c r="BC193" s="189"/>
      <c r="BD193" s="189"/>
      <c r="BE193" s="189"/>
      <c r="BF193" s="189"/>
      <c r="BG193" s="189"/>
      <c r="BH193" s="189"/>
      <c r="BI193" s="189"/>
      <c r="BJ193" s="189"/>
      <c r="BK193" s="189"/>
      <c r="BL193" s="189"/>
      <c r="BM193" s="189"/>
      <c r="BN193" s="189"/>
      <c r="BO193" s="189"/>
      <c r="BP193" s="189"/>
      <c r="BQ193" s="189"/>
      <c r="BR193" s="189"/>
      <c r="BS193" s="189"/>
      <c r="BT193" s="189"/>
      <c r="BU193" s="189"/>
      <c r="BV193" s="189"/>
      <c r="BW193" s="215"/>
      <c r="BX193" s="215">
        <f t="shared" si="5"/>
        <v>0</v>
      </c>
      <c r="BY193" s="189"/>
    </row>
    <row r="194" spans="1:77" ht="29.45" customHeight="1">
      <c r="A194" s="188"/>
      <c r="B194" s="188"/>
      <c r="C194" s="188"/>
      <c r="D194" s="188"/>
      <c r="E194" s="189"/>
      <c r="F194" s="189"/>
      <c r="G194" s="189"/>
      <c r="H194" s="189"/>
      <c r="I194" s="189"/>
      <c r="J194" s="189"/>
      <c r="K194" s="189"/>
      <c r="L194" s="189"/>
      <c r="M194" s="189"/>
      <c r="N194" s="189"/>
      <c r="O194" s="189"/>
      <c r="P194" s="189"/>
      <c r="Q194" s="189"/>
      <c r="R194" s="189"/>
      <c r="S194" s="189"/>
      <c r="T194" s="189"/>
      <c r="U194" s="189"/>
      <c r="V194" s="189"/>
      <c r="W194" s="189"/>
      <c r="X194" s="189"/>
      <c r="Y194" s="189"/>
      <c r="Z194" s="189"/>
      <c r="AA194" s="189"/>
      <c r="AB194" s="189"/>
      <c r="AC194" s="189"/>
      <c r="AD194" s="189"/>
      <c r="AE194" s="189"/>
      <c r="AF194" s="189"/>
      <c r="AG194" s="189"/>
      <c r="AH194" s="189"/>
      <c r="AI194" s="189"/>
      <c r="AJ194" s="189"/>
      <c r="AK194" s="205"/>
      <c r="AL194" s="189"/>
      <c r="AM194" s="189"/>
      <c r="AN194" s="189"/>
      <c r="AO194" s="189"/>
      <c r="AP194" s="189"/>
      <c r="AQ194" s="189"/>
      <c r="AR194" s="189"/>
      <c r="AS194" s="189"/>
      <c r="AT194" s="189"/>
      <c r="AU194" s="189"/>
      <c r="AV194" s="189"/>
      <c r="AW194" s="189"/>
      <c r="AX194" s="189"/>
      <c r="AY194" s="189"/>
      <c r="AZ194" s="189"/>
      <c r="BA194" s="189"/>
      <c r="BB194" s="189"/>
      <c r="BC194" s="189"/>
      <c r="BD194" s="189"/>
      <c r="BE194" s="189"/>
      <c r="BF194" s="189"/>
      <c r="BG194" s="189"/>
      <c r="BH194" s="189"/>
      <c r="BI194" s="189"/>
      <c r="BJ194" s="189"/>
      <c r="BK194" s="189"/>
      <c r="BL194" s="189"/>
      <c r="BM194" s="189"/>
      <c r="BN194" s="189"/>
      <c r="BO194" s="189"/>
      <c r="BP194" s="189"/>
      <c r="BQ194" s="189"/>
      <c r="BR194" s="189"/>
      <c r="BS194" s="189"/>
      <c r="BT194" s="189"/>
      <c r="BU194" s="189"/>
      <c r="BV194" s="189"/>
      <c r="BW194" s="215"/>
      <c r="BX194" s="215">
        <f t="shared" si="5"/>
        <v>0</v>
      </c>
      <c r="BY194" s="189"/>
    </row>
    <row r="195" spans="1:77" ht="29.45" customHeight="1">
      <c r="A195" s="188"/>
      <c r="B195" s="188"/>
      <c r="C195" s="188"/>
      <c r="D195" s="188"/>
      <c r="E195" s="189"/>
      <c r="F195" s="189"/>
      <c r="G195" s="189"/>
      <c r="H195" s="189"/>
      <c r="I195" s="189"/>
      <c r="J195" s="189"/>
      <c r="K195" s="189"/>
      <c r="L195" s="189"/>
      <c r="M195" s="189"/>
      <c r="N195" s="189"/>
      <c r="O195" s="189"/>
      <c r="P195" s="189"/>
      <c r="Q195" s="189"/>
      <c r="R195" s="189"/>
      <c r="S195" s="189"/>
      <c r="T195" s="189"/>
      <c r="U195" s="189"/>
      <c r="V195" s="189"/>
      <c r="W195" s="189"/>
      <c r="X195" s="189"/>
      <c r="Y195" s="189"/>
      <c r="Z195" s="189"/>
      <c r="AA195" s="189"/>
      <c r="AB195" s="189"/>
      <c r="AC195" s="189"/>
      <c r="AD195" s="189"/>
      <c r="AE195" s="189"/>
      <c r="AF195" s="189"/>
      <c r="AG195" s="189"/>
      <c r="AH195" s="189"/>
      <c r="AI195" s="189"/>
      <c r="AJ195" s="189"/>
      <c r="AK195" s="205"/>
      <c r="AL195" s="189"/>
      <c r="AM195" s="189"/>
      <c r="AN195" s="189"/>
      <c r="AO195" s="189"/>
      <c r="AP195" s="189"/>
      <c r="AQ195" s="189"/>
      <c r="AR195" s="189"/>
      <c r="AS195" s="189"/>
      <c r="AT195" s="189"/>
      <c r="AU195" s="189"/>
      <c r="AV195" s="189"/>
      <c r="AW195" s="189"/>
      <c r="AX195" s="189"/>
      <c r="AY195" s="189"/>
      <c r="AZ195" s="189"/>
      <c r="BA195" s="189"/>
      <c r="BB195" s="189"/>
      <c r="BC195" s="189"/>
      <c r="BD195" s="189"/>
      <c r="BE195" s="189"/>
      <c r="BF195" s="189"/>
      <c r="BG195" s="189"/>
      <c r="BH195" s="189"/>
      <c r="BI195" s="189"/>
      <c r="BJ195" s="189"/>
      <c r="BK195" s="189"/>
      <c r="BL195" s="189"/>
      <c r="BM195" s="189"/>
      <c r="BN195" s="189"/>
      <c r="BO195" s="189"/>
      <c r="BP195" s="189"/>
      <c r="BQ195" s="189"/>
      <c r="BR195" s="189"/>
      <c r="BS195" s="189"/>
      <c r="BT195" s="189"/>
      <c r="BU195" s="189"/>
      <c r="BV195" s="189"/>
      <c r="BW195" s="215"/>
      <c r="BX195" s="215">
        <f t="shared" si="5"/>
        <v>0</v>
      </c>
      <c r="BY195" s="189"/>
    </row>
    <row r="196" spans="1:77" ht="29.45" customHeight="1">
      <c r="A196" s="188"/>
      <c r="B196" s="188"/>
      <c r="C196" s="188"/>
      <c r="D196" s="188"/>
      <c r="E196" s="189"/>
      <c r="F196" s="189"/>
      <c r="G196" s="189"/>
      <c r="H196" s="189"/>
      <c r="I196" s="189"/>
      <c r="J196" s="189"/>
      <c r="K196" s="189"/>
      <c r="L196" s="189"/>
      <c r="M196" s="189"/>
      <c r="N196" s="189"/>
      <c r="O196" s="189"/>
      <c r="P196" s="189"/>
      <c r="Q196" s="189"/>
      <c r="R196" s="189"/>
      <c r="S196" s="189"/>
      <c r="T196" s="189"/>
      <c r="U196" s="189"/>
      <c r="V196" s="189"/>
      <c r="W196" s="189"/>
      <c r="X196" s="189"/>
      <c r="Y196" s="189"/>
      <c r="Z196" s="189"/>
      <c r="AA196" s="189"/>
      <c r="AB196" s="189"/>
      <c r="AC196" s="189"/>
      <c r="AD196" s="189"/>
      <c r="AE196" s="189"/>
      <c r="AF196" s="189"/>
      <c r="AG196" s="189"/>
      <c r="AH196" s="189"/>
      <c r="AI196" s="189"/>
      <c r="AJ196" s="189"/>
      <c r="AK196" s="205"/>
      <c r="AL196" s="189"/>
      <c r="AM196" s="189"/>
      <c r="AN196" s="189"/>
      <c r="AO196" s="189"/>
      <c r="AP196" s="189"/>
      <c r="AQ196" s="189"/>
      <c r="AR196" s="189"/>
      <c r="AS196" s="189"/>
      <c r="AT196" s="189"/>
      <c r="AU196" s="189"/>
      <c r="AV196" s="189"/>
      <c r="AW196" s="189"/>
      <c r="AX196" s="189"/>
      <c r="AY196" s="189"/>
      <c r="AZ196" s="189"/>
      <c r="BA196" s="189"/>
      <c r="BB196" s="189"/>
      <c r="BC196" s="189"/>
      <c r="BD196" s="189"/>
      <c r="BE196" s="189"/>
      <c r="BF196" s="189"/>
      <c r="BG196" s="189"/>
      <c r="BH196" s="189"/>
      <c r="BI196" s="189"/>
      <c r="BJ196" s="189"/>
      <c r="BK196" s="189"/>
      <c r="BL196" s="189"/>
      <c r="BM196" s="189"/>
      <c r="BN196" s="189"/>
      <c r="BO196" s="189"/>
      <c r="BP196" s="189"/>
      <c r="BQ196" s="189"/>
      <c r="BR196" s="189"/>
      <c r="BS196" s="189"/>
      <c r="BT196" s="189"/>
      <c r="BU196" s="189"/>
      <c r="BV196" s="189"/>
      <c r="BW196" s="215"/>
      <c r="BX196" s="215">
        <f t="shared" si="5"/>
        <v>0</v>
      </c>
      <c r="BY196" s="189"/>
    </row>
    <row r="197" spans="1:77" ht="29.45" customHeight="1">
      <c r="A197" s="188"/>
      <c r="B197" s="188"/>
      <c r="C197" s="188"/>
      <c r="D197" s="188"/>
      <c r="E197" s="189"/>
      <c r="F197" s="189"/>
      <c r="G197" s="189"/>
      <c r="H197" s="189"/>
      <c r="I197" s="189"/>
      <c r="J197" s="189"/>
      <c r="K197" s="189"/>
      <c r="L197" s="189"/>
      <c r="M197" s="189"/>
      <c r="N197" s="189"/>
      <c r="O197" s="189"/>
      <c r="P197" s="189"/>
      <c r="Q197" s="189"/>
      <c r="R197" s="189"/>
      <c r="S197" s="189"/>
      <c r="T197" s="189"/>
      <c r="U197" s="189"/>
      <c r="V197" s="189"/>
      <c r="W197" s="189"/>
      <c r="X197" s="189"/>
      <c r="Y197" s="189"/>
      <c r="Z197" s="189"/>
      <c r="AA197" s="189"/>
      <c r="AB197" s="189"/>
      <c r="AC197" s="189"/>
      <c r="AD197" s="189"/>
      <c r="AE197" s="189"/>
      <c r="AF197" s="189"/>
      <c r="AG197" s="189"/>
      <c r="AH197" s="189"/>
      <c r="AI197" s="189"/>
      <c r="AJ197" s="189"/>
      <c r="AK197" s="205"/>
      <c r="AL197" s="189"/>
      <c r="AM197" s="189"/>
      <c r="AN197" s="189"/>
      <c r="AO197" s="189"/>
      <c r="AP197" s="189"/>
      <c r="AQ197" s="189"/>
      <c r="AR197" s="189"/>
      <c r="AS197" s="189"/>
      <c r="AT197" s="189"/>
      <c r="AU197" s="189"/>
      <c r="AV197" s="189"/>
      <c r="AW197" s="189"/>
      <c r="AX197" s="189"/>
      <c r="AY197" s="189"/>
      <c r="AZ197" s="189"/>
      <c r="BA197" s="189"/>
      <c r="BB197" s="189"/>
      <c r="BC197" s="189"/>
      <c r="BD197" s="189"/>
      <c r="BE197" s="189"/>
      <c r="BF197" s="189"/>
      <c r="BG197" s="189"/>
      <c r="BH197" s="189"/>
      <c r="BI197" s="189"/>
      <c r="BJ197" s="189"/>
      <c r="BK197" s="189"/>
      <c r="BL197" s="189"/>
      <c r="BM197" s="189"/>
      <c r="BN197" s="189"/>
      <c r="BO197" s="189"/>
      <c r="BP197" s="189"/>
      <c r="BQ197" s="189"/>
      <c r="BR197" s="189"/>
      <c r="BS197" s="189"/>
      <c r="BT197" s="189"/>
      <c r="BU197" s="189"/>
      <c r="BV197" s="189"/>
      <c r="BW197" s="215"/>
      <c r="BX197" s="215">
        <f t="shared" si="5"/>
        <v>0</v>
      </c>
      <c r="BY197" s="189"/>
    </row>
    <row r="198" spans="1:77" ht="29.45" customHeight="1">
      <c r="A198" s="188"/>
      <c r="B198" s="188"/>
      <c r="C198" s="188"/>
      <c r="D198" s="188"/>
      <c r="E198" s="189"/>
      <c r="F198" s="189"/>
      <c r="G198" s="189"/>
      <c r="H198" s="189"/>
      <c r="I198" s="189"/>
      <c r="J198" s="189"/>
      <c r="K198" s="189"/>
      <c r="L198" s="189"/>
      <c r="M198" s="189"/>
      <c r="N198" s="189"/>
      <c r="O198" s="189"/>
      <c r="P198" s="189"/>
      <c r="Q198" s="189"/>
      <c r="R198" s="189"/>
      <c r="S198" s="189"/>
      <c r="T198" s="189"/>
      <c r="U198" s="189"/>
      <c r="V198" s="189"/>
      <c r="W198" s="189"/>
      <c r="X198" s="189"/>
      <c r="Y198" s="189"/>
      <c r="Z198" s="189"/>
      <c r="AA198" s="189"/>
      <c r="AB198" s="189"/>
      <c r="AC198" s="189"/>
      <c r="AD198" s="189"/>
      <c r="AE198" s="189"/>
      <c r="AF198" s="189"/>
      <c r="AG198" s="189"/>
      <c r="AH198" s="189"/>
      <c r="AI198" s="189"/>
      <c r="AJ198" s="189"/>
      <c r="AK198" s="205"/>
      <c r="AL198" s="189"/>
      <c r="AM198" s="189"/>
      <c r="AN198" s="189"/>
      <c r="AO198" s="189"/>
      <c r="AP198" s="189"/>
      <c r="AQ198" s="189"/>
      <c r="AR198" s="189"/>
      <c r="AS198" s="189"/>
      <c r="AT198" s="189"/>
      <c r="AU198" s="189"/>
      <c r="AV198" s="189"/>
      <c r="AW198" s="189"/>
      <c r="AX198" s="189"/>
      <c r="AY198" s="189"/>
      <c r="AZ198" s="189"/>
      <c r="BA198" s="189"/>
      <c r="BB198" s="189"/>
      <c r="BC198" s="189"/>
      <c r="BD198" s="189"/>
      <c r="BE198" s="189"/>
      <c r="BF198" s="189"/>
      <c r="BG198" s="189"/>
      <c r="BH198" s="189"/>
      <c r="BI198" s="189"/>
      <c r="BJ198" s="189"/>
      <c r="BK198" s="189"/>
      <c r="BL198" s="189"/>
      <c r="BM198" s="189"/>
      <c r="BN198" s="189"/>
      <c r="BO198" s="189"/>
      <c r="BP198" s="189"/>
      <c r="BQ198" s="189"/>
      <c r="BR198" s="189"/>
      <c r="BS198" s="189"/>
      <c r="BT198" s="189"/>
      <c r="BU198" s="189"/>
      <c r="BV198" s="189"/>
      <c r="BW198" s="215"/>
      <c r="BX198" s="215">
        <f t="shared" si="5"/>
        <v>0</v>
      </c>
      <c r="BY198" s="189"/>
    </row>
    <row r="199" spans="1:77" ht="29.45" customHeight="1">
      <c r="A199" s="188"/>
      <c r="B199" s="188"/>
      <c r="C199" s="188"/>
      <c r="D199" s="188"/>
      <c r="E199" s="189"/>
      <c r="F199" s="189"/>
      <c r="G199" s="189"/>
      <c r="H199" s="189"/>
      <c r="I199" s="189"/>
      <c r="J199" s="189"/>
      <c r="K199" s="189"/>
      <c r="L199" s="189"/>
      <c r="M199" s="189"/>
      <c r="N199" s="189"/>
      <c r="O199" s="189"/>
      <c r="P199" s="189"/>
      <c r="Q199" s="189"/>
      <c r="R199" s="189"/>
      <c r="S199" s="189"/>
      <c r="T199" s="189"/>
      <c r="U199" s="189"/>
      <c r="V199" s="189"/>
      <c r="W199" s="189"/>
      <c r="X199" s="189"/>
      <c r="Y199" s="189"/>
      <c r="Z199" s="189"/>
      <c r="AA199" s="189"/>
      <c r="AB199" s="189"/>
      <c r="AC199" s="189"/>
      <c r="AD199" s="189"/>
      <c r="AE199" s="189"/>
      <c r="AF199" s="189"/>
      <c r="AG199" s="189"/>
      <c r="AH199" s="189"/>
      <c r="AI199" s="189"/>
      <c r="AJ199" s="189"/>
      <c r="AK199" s="205"/>
      <c r="AL199" s="189"/>
      <c r="AM199" s="189"/>
      <c r="AN199" s="189"/>
      <c r="AO199" s="189"/>
      <c r="AP199" s="189"/>
      <c r="AQ199" s="189"/>
      <c r="AR199" s="189"/>
      <c r="AS199" s="189"/>
      <c r="AT199" s="189"/>
      <c r="AU199" s="189"/>
      <c r="AV199" s="189"/>
      <c r="AW199" s="189"/>
      <c r="AX199" s="189"/>
      <c r="AY199" s="189"/>
      <c r="AZ199" s="189"/>
      <c r="BA199" s="189"/>
      <c r="BB199" s="189"/>
      <c r="BC199" s="189"/>
      <c r="BD199" s="189"/>
      <c r="BE199" s="189"/>
      <c r="BF199" s="189"/>
      <c r="BG199" s="189"/>
      <c r="BH199" s="189"/>
      <c r="BI199" s="189"/>
      <c r="BJ199" s="189"/>
      <c r="BK199" s="189"/>
      <c r="BL199" s="189"/>
      <c r="BM199" s="189"/>
      <c r="BN199" s="189"/>
      <c r="BO199" s="189"/>
      <c r="BP199" s="189"/>
      <c r="BQ199" s="189"/>
      <c r="BR199" s="189"/>
      <c r="BS199" s="189"/>
      <c r="BT199" s="189"/>
      <c r="BU199" s="189"/>
      <c r="BV199" s="189"/>
      <c r="BW199" s="215"/>
      <c r="BX199" s="215">
        <f t="shared" si="5"/>
        <v>0</v>
      </c>
      <c r="BY199" s="189"/>
    </row>
    <row r="200" spans="1:77" ht="29.45" customHeight="1">
      <c r="A200" s="188"/>
      <c r="B200" s="188"/>
      <c r="C200" s="188"/>
      <c r="D200" s="188"/>
      <c r="E200" s="189"/>
      <c r="F200" s="189"/>
      <c r="G200" s="189"/>
      <c r="H200" s="189"/>
      <c r="I200" s="189"/>
      <c r="J200" s="189"/>
      <c r="K200" s="189"/>
      <c r="L200" s="189"/>
      <c r="M200" s="189"/>
      <c r="N200" s="189"/>
      <c r="O200" s="189"/>
      <c r="P200" s="189"/>
      <c r="Q200" s="189"/>
      <c r="R200" s="189"/>
      <c r="S200" s="189"/>
      <c r="T200" s="189"/>
      <c r="U200" s="189"/>
      <c r="V200" s="189"/>
      <c r="W200" s="189"/>
      <c r="X200" s="189"/>
      <c r="Y200" s="189"/>
      <c r="Z200" s="189"/>
      <c r="AA200" s="189"/>
      <c r="AB200" s="189"/>
      <c r="AC200" s="189"/>
      <c r="AD200" s="189"/>
      <c r="AE200" s="189"/>
      <c r="AF200" s="189"/>
      <c r="AG200" s="189"/>
      <c r="AH200" s="189"/>
      <c r="AI200" s="189"/>
      <c r="AJ200" s="189"/>
      <c r="AK200" s="205"/>
      <c r="AL200" s="189"/>
      <c r="AM200" s="189"/>
      <c r="AN200" s="189"/>
      <c r="AO200" s="189"/>
      <c r="AP200" s="189"/>
      <c r="AQ200" s="189"/>
      <c r="AR200" s="189"/>
      <c r="AS200" s="189"/>
      <c r="AT200" s="189"/>
      <c r="AU200" s="189"/>
      <c r="AV200" s="189"/>
      <c r="AW200" s="189"/>
      <c r="AX200" s="189"/>
      <c r="AY200" s="189"/>
      <c r="AZ200" s="189"/>
      <c r="BA200" s="189"/>
      <c r="BB200" s="189"/>
      <c r="BC200" s="189"/>
      <c r="BD200" s="189"/>
      <c r="BE200" s="189"/>
      <c r="BF200" s="189"/>
      <c r="BG200" s="189"/>
      <c r="BH200" s="189"/>
      <c r="BI200" s="189"/>
      <c r="BJ200" s="189"/>
      <c r="BK200" s="189"/>
      <c r="BL200" s="189"/>
      <c r="BM200" s="189"/>
      <c r="BN200" s="189"/>
      <c r="BO200" s="189"/>
      <c r="BP200" s="189"/>
      <c r="BQ200" s="189"/>
      <c r="BR200" s="189"/>
      <c r="BS200" s="189"/>
      <c r="BT200" s="189"/>
      <c r="BU200" s="189"/>
      <c r="BV200" s="189"/>
      <c r="BW200" s="215"/>
      <c r="BX200" s="215">
        <f t="shared" si="5"/>
        <v>0</v>
      </c>
      <c r="BY200" s="189"/>
    </row>
    <row r="201" spans="1:77" ht="29.45" customHeight="1">
      <c r="A201" s="188"/>
      <c r="B201" s="188"/>
      <c r="C201" s="188"/>
      <c r="D201" s="188"/>
      <c r="E201" s="189"/>
      <c r="F201" s="189"/>
      <c r="G201" s="189"/>
      <c r="H201" s="189"/>
      <c r="I201" s="189"/>
      <c r="J201" s="189"/>
      <c r="K201" s="189"/>
      <c r="L201" s="189"/>
      <c r="M201" s="189"/>
      <c r="N201" s="189"/>
      <c r="O201" s="189"/>
      <c r="P201" s="189"/>
      <c r="Q201" s="189"/>
      <c r="R201" s="189"/>
      <c r="S201" s="189"/>
      <c r="T201" s="189"/>
      <c r="U201" s="189"/>
      <c r="V201" s="189"/>
      <c r="W201" s="189"/>
      <c r="X201" s="189"/>
      <c r="Y201" s="189"/>
      <c r="Z201" s="189"/>
      <c r="AA201" s="189"/>
      <c r="AB201" s="189"/>
      <c r="AC201" s="189"/>
      <c r="AD201" s="189"/>
      <c r="AE201" s="189"/>
      <c r="AF201" s="189"/>
      <c r="AG201" s="189"/>
      <c r="AH201" s="189"/>
      <c r="AI201" s="189"/>
      <c r="AJ201" s="189"/>
      <c r="AK201" s="205"/>
      <c r="AL201" s="189"/>
      <c r="AM201" s="189"/>
      <c r="AN201" s="189"/>
      <c r="AO201" s="189"/>
      <c r="AP201" s="189"/>
      <c r="AQ201" s="189"/>
      <c r="AR201" s="189"/>
      <c r="AS201" s="189"/>
      <c r="AT201" s="189"/>
      <c r="AU201" s="189"/>
      <c r="AV201" s="189"/>
      <c r="AW201" s="189"/>
      <c r="AX201" s="189"/>
      <c r="AY201" s="189"/>
      <c r="AZ201" s="189"/>
      <c r="BA201" s="189"/>
      <c r="BB201" s="189"/>
      <c r="BC201" s="189"/>
      <c r="BD201" s="189"/>
      <c r="BE201" s="189"/>
      <c r="BF201" s="189"/>
      <c r="BG201" s="189"/>
      <c r="BH201" s="189"/>
      <c r="BI201" s="189"/>
      <c r="BJ201" s="189"/>
      <c r="BK201" s="189"/>
      <c r="BL201" s="189"/>
      <c r="BM201" s="189"/>
      <c r="BN201" s="189"/>
      <c r="BO201" s="189"/>
      <c r="BP201" s="189"/>
      <c r="BQ201" s="189"/>
      <c r="BR201" s="189"/>
      <c r="BS201" s="189"/>
      <c r="BT201" s="189"/>
      <c r="BU201" s="189"/>
      <c r="BV201" s="189"/>
      <c r="BW201" s="215"/>
      <c r="BX201" s="215">
        <f t="shared" ref="BX201:BX221" si="6">F201+K201+N201+O201+P201+Q201+R201+S201+T201+U201+V201+W201+X201+Y201+Z201+AA201+AB201+AC201+AD201+AE201+AF201+AG201+AH201+AI201+AJ201+AK201+AL201+AM201+AN201+AO201+AP201+AQ201+AR201+AS201+AT201+AU201+AV201+AW201+AX201+AY201+AZ201+BA201+BB201+BC201+BD201+BE201+BF201+BG201+BH201+BI201+BJ201+BK201+BL201+BM201+BN201+BO201+BP201+BQ201+BR201+BS201+BT201+BU201+BV201</f>
        <v>0</v>
      </c>
      <c r="BY201" s="189"/>
    </row>
    <row r="202" spans="1:77" ht="29.45" customHeight="1">
      <c r="A202" s="188"/>
      <c r="B202" s="188"/>
      <c r="C202" s="188"/>
      <c r="D202" s="188"/>
      <c r="E202" s="189"/>
      <c r="F202" s="189"/>
      <c r="G202" s="189"/>
      <c r="H202" s="189"/>
      <c r="I202" s="189"/>
      <c r="J202" s="189"/>
      <c r="K202" s="189"/>
      <c r="L202" s="189"/>
      <c r="M202" s="189"/>
      <c r="N202" s="189"/>
      <c r="O202" s="189"/>
      <c r="P202" s="189"/>
      <c r="Q202" s="189"/>
      <c r="R202" s="189"/>
      <c r="S202" s="189"/>
      <c r="T202" s="189"/>
      <c r="U202" s="189"/>
      <c r="V202" s="189"/>
      <c r="W202" s="189"/>
      <c r="X202" s="189"/>
      <c r="Y202" s="189"/>
      <c r="Z202" s="189"/>
      <c r="AA202" s="189"/>
      <c r="AB202" s="189"/>
      <c r="AC202" s="189"/>
      <c r="AD202" s="189"/>
      <c r="AE202" s="189"/>
      <c r="AF202" s="189"/>
      <c r="AG202" s="189"/>
      <c r="AH202" s="189"/>
      <c r="AI202" s="189"/>
      <c r="AJ202" s="189"/>
      <c r="AK202" s="205"/>
      <c r="AL202" s="189"/>
      <c r="AM202" s="189"/>
      <c r="AN202" s="189"/>
      <c r="AO202" s="189"/>
      <c r="AP202" s="189"/>
      <c r="AQ202" s="189"/>
      <c r="AR202" s="189"/>
      <c r="AS202" s="189"/>
      <c r="AT202" s="189"/>
      <c r="AU202" s="189"/>
      <c r="AV202" s="189"/>
      <c r="AW202" s="189"/>
      <c r="AX202" s="189"/>
      <c r="AY202" s="189"/>
      <c r="AZ202" s="189"/>
      <c r="BA202" s="189"/>
      <c r="BB202" s="189"/>
      <c r="BC202" s="189"/>
      <c r="BD202" s="189"/>
      <c r="BE202" s="189"/>
      <c r="BF202" s="189"/>
      <c r="BG202" s="189"/>
      <c r="BH202" s="189"/>
      <c r="BI202" s="189"/>
      <c r="BJ202" s="189"/>
      <c r="BK202" s="189"/>
      <c r="BL202" s="189"/>
      <c r="BM202" s="189"/>
      <c r="BN202" s="189"/>
      <c r="BO202" s="189"/>
      <c r="BP202" s="189"/>
      <c r="BQ202" s="189"/>
      <c r="BR202" s="189"/>
      <c r="BS202" s="189"/>
      <c r="BT202" s="189"/>
      <c r="BU202" s="189"/>
      <c r="BV202" s="189"/>
      <c r="BW202" s="215"/>
      <c r="BX202" s="215">
        <f t="shared" si="6"/>
        <v>0</v>
      </c>
      <c r="BY202" s="189"/>
    </row>
    <row r="203" spans="1:77" ht="29.45" customHeight="1">
      <c r="A203" s="188"/>
      <c r="B203" s="188"/>
      <c r="C203" s="188"/>
      <c r="D203" s="188"/>
      <c r="E203" s="189"/>
      <c r="F203" s="189"/>
      <c r="G203" s="189"/>
      <c r="H203" s="189"/>
      <c r="I203" s="189"/>
      <c r="J203" s="189"/>
      <c r="K203" s="189"/>
      <c r="L203" s="189"/>
      <c r="M203" s="189"/>
      <c r="N203" s="189"/>
      <c r="O203" s="189"/>
      <c r="P203" s="189"/>
      <c r="Q203" s="189"/>
      <c r="R203" s="189"/>
      <c r="S203" s="189"/>
      <c r="T203" s="189"/>
      <c r="U203" s="189"/>
      <c r="V203" s="189"/>
      <c r="W203" s="189"/>
      <c r="X203" s="189"/>
      <c r="Y203" s="189"/>
      <c r="Z203" s="189"/>
      <c r="AA203" s="189"/>
      <c r="AB203" s="189"/>
      <c r="AC203" s="189"/>
      <c r="AD203" s="189"/>
      <c r="AE203" s="189"/>
      <c r="AF203" s="189"/>
      <c r="AG203" s="189"/>
      <c r="AH203" s="189"/>
      <c r="AI203" s="189"/>
      <c r="AJ203" s="189"/>
      <c r="AK203" s="205"/>
      <c r="AL203" s="189"/>
      <c r="AM203" s="189"/>
      <c r="AN203" s="189"/>
      <c r="AO203" s="189"/>
      <c r="AP203" s="189"/>
      <c r="AQ203" s="189"/>
      <c r="AR203" s="189"/>
      <c r="AS203" s="189"/>
      <c r="AT203" s="189"/>
      <c r="AU203" s="189"/>
      <c r="AV203" s="189"/>
      <c r="AW203" s="189"/>
      <c r="AX203" s="189"/>
      <c r="AY203" s="189"/>
      <c r="AZ203" s="189"/>
      <c r="BA203" s="189"/>
      <c r="BB203" s="189"/>
      <c r="BC203" s="189"/>
      <c r="BD203" s="189"/>
      <c r="BE203" s="189"/>
      <c r="BF203" s="189"/>
      <c r="BG203" s="189"/>
      <c r="BH203" s="189"/>
      <c r="BI203" s="189"/>
      <c r="BJ203" s="189"/>
      <c r="BK203" s="189"/>
      <c r="BL203" s="189"/>
      <c r="BM203" s="189"/>
      <c r="BN203" s="189"/>
      <c r="BO203" s="189"/>
      <c r="BP203" s="189"/>
      <c r="BQ203" s="189"/>
      <c r="BR203" s="189"/>
      <c r="BS203" s="189"/>
      <c r="BT203" s="189"/>
      <c r="BU203" s="189"/>
      <c r="BV203" s="189"/>
      <c r="BW203" s="215"/>
      <c r="BX203" s="215">
        <f t="shared" si="6"/>
        <v>0</v>
      </c>
      <c r="BY203" s="189"/>
    </row>
    <row r="204" spans="1:77" ht="29.45" customHeight="1">
      <c r="A204" s="188"/>
      <c r="B204" s="188"/>
      <c r="C204" s="188"/>
      <c r="D204" s="188"/>
      <c r="E204" s="189"/>
      <c r="F204" s="189"/>
      <c r="G204" s="189"/>
      <c r="H204" s="189"/>
      <c r="I204" s="189"/>
      <c r="J204" s="189"/>
      <c r="K204" s="189"/>
      <c r="L204" s="189"/>
      <c r="M204" s="189"/>
      <c r="N204" s="189"/>
      <c r="O204" s="189"/>
      <c r="P204" s="189"/>
      <c r="Q204" s="189"/>
      <c r="R204" s="189"/>
      <c r="S204" s="189"/>
      <c r="T204" s="189"/>
      <c r="U204" s="189"/>
      <c r="V204" s="189"/>
      <c r="W204" s="189"/>
      <c r="X204" s="189"/>
      <c r="Y204" s="189"/>
      <c r="Z204" s="189"/>
      <c r="AA204" s="189"/>
      <c r="AB204" s="189"/>
      <c r="AC204" s="189"/>
      <c r="AD204" s="189"/>
      <c r="AE204" s="189"/>
      <c r="AF204" s="189"/>
      <c r="AG204" s="189"/>
      <c r="AH204" s="189"/>
      <c r="AI204" s="189"/>
      <c r="AJ204" s="189"/>
      <c r="AK204" s="205"/>
      <c r="AL204" s="189"/>
      <c r="AM204" s="189"/>
      <c r="AN204" s="189"/>
      <c r="AO204" s="189"/>
      <c r="AP204" s="189"/>
      <c r="AQ204" s="189"/>
      <c r="AR204" s="189"/>
      <c r="AS204" s="189"/>
      <c r="AT204" s="189"/>
      <c r="AU204" s="189"/>
      <c r="AV204" s="189"/>
      <c r="AW204" s="189"/>
      <c r="AX204" s="189"/>
      <c r="AY204" s="189"/>
      <c r="AZ204" s="189"/>
      <c r="BA204" s="189"/>
      <c r="BB204" s="189"/>
      <c r="BC204" s="189"/>
      <c r="BD204" s="189"/>
      <c r="BE204" s="189"/>
      <c r="BF204" s="189"/>
      <c r="BG204" s="189"/>
      <c r="BH204" s="189"/>
      <c r="BI204" s="189"/>
      <c r="BJ204" s="189"/>
      <c r="BK204" s="189"/>
      <c r="BL204" s="189"/>
      <c r="BM204" s="189"/>
      <c r="BN204" s="189"/>
      <c r="BO204" s="189"/>
      <c r="BP204" s="189"/>
      <c r="BQ204" s="189"/>
      <c r="BR204" s="189"/>
      <c r="BS204" s="189"/>
      <c r="BT204" s="189"/>
      <c r="BU204" s="189"/>
      <c r="BV204" s="189"/>
      <c r="BW204" s="215"/>
      <c r="BX204" s="215">
        <f t="shared" si="6"/>
        <v>0</v>
      </c>
      <c r="BY204" s="189"/>
    </row>
    <row r="205" spans="1:77" ht="29.45" customHeight="1">
      <c r="A205" s="188"/>
      <c r="B205" s="188"/>
      <c r="C205" s="188"/>
      <c r="D205" s="188"/>
      <c r="E205" s="189"/>
      <c r="F205" s="189"/>
      <c r="G205" s="189"/>
      <c r="H205" s="189"/>
      <c r="I205" s="189"/>
      <c r="J205" s="189"/>
      <c r="K205" s="189"/>
      <c r="L205" s="189"/>
      <c r="M205" s="189"/>
      <c r="N205" s="189"/>
      <c r="O205" s="189"/>
      <c r="P205" s="189"/>
      <c r="Q205" s="189"/>
      <c r="R205" s="189"/>
      <c r="S205" s="189"/>
      <c r="T205" s="189"/>
      <c r="U205" s="189"/>
      <c r="V205" s="189"/>
      <c r="W205" s="189"/>
      <c r="X205" s="189"/>
      <c r="Y205" s="189"/>
      <c r="Z205" s="189"/>
      <c r="AA205" s="189"/>
      <c r="AB205" s="189"/>
      <c r="AC205" s="189"/>
      <c r="AD205" s="189"/>
      <c r="AE205" s="189"/>
      <c r="AF205" s="189"/>
      <c r="AG205" s="189"/>
      <c r="AH205" s="189"/>
      <c r="AI205" s="189"/>
      <c r="AJ205" s="189"/>
      <c r="AK205" s="205"/>
      <c r="AL205" s="189"/>
      <c r="AM205" s="189"/>
      <c r="AN205" s="189"/>
      <c r="AO205" s="189"/>
      <c r="AP205" s="189"/>
      <c r="AQ205" s="189"/>
      <c r="AR205" s="189"/>
      <c r="AS205" s="189"/>
      <c r="AT205" s="189"/>
      <c r="AU205" s="189"/>
      <c r="AV205" s="189"/>
      <c r="AW205" s="189"/>
      <c r="AX205" s="189"/>
      <c r="AY205" s="189"/>
      <c r="AZ205" s="189"/>
      <c r="BA205" s="189"/>
      <c r="BB205" s="189"/>
      <c r="BC205" s="189"/>
      <c r="BD205" s="189"/>
      <c r="BE205" s="189"/>
      <c r="BF205" s="189"/>
      <c r="BG205" s="189"/>
      <c r="BH205" s="189"/>
      <c r="BI205" s="189"/>
      <c r="BJ205" s="189"/>
      <c r="BK205" s="189"/>
      <c r="BL205" s="189"/>
      <c r="BM205" s="189"/>
      <c r="BN205" s="189"/>
      <c r="BO205" s="189"/>
      <c r="BP205" s="189"/>
      <c r="BQ205" s="189"/>
      <c r="BR205" s="189"/>
      <c r="BS205" s="189"/>
      <c r="BT205" s="189"/>
      <c r="BU205" s="189"/>
      <c r="BV205" s="189"/>
      <c r="BW205" s="215"/>
      <c r="BX205" s="215">
        <f t="shared" si="6"/>
        <v>0</v>
      </c>
      <c r="BY205" s="189"/>
    </row>
    <row r="206" spans="1:77" ht="29.45" customHeight="1">
      <c r="A206" s="188"/>
      <c r="B206" s="188"/>
      <c r="C206" s="188"/>
      <c r="D206" s="188"/>
      <c r="E206" s="189"/>
      <c r="F206" s="189"/>
      <c r="G206" s="189"/>
      <c r="H206" s="189"/>
      <c r="I206" s="189"/>
      <c r="J206" s="189"/>
      <c r="K206" s="189"/>
      <c r="L206" s="189"/>
      <c r="M206" s="189"/>
      <c r="N206" s="189"/>
      <c r="O206" s="189"/>
      <c r="P206" s="189"/>
      <c r="Q206" s="189"/>
      <c r="R206" s="189"/>
      <c r="S206" s="189"/>
      <c r="T206" s="189"/>
      <c r="U206" s="189"/>
      <c r="V206" s="189"/>
      <c r="W206" s="189"/>
      <c r="X206" s="189"/>
      <c r="Y206" s="189"/>
      <c r="Z206" s="189"/>
      <c r="AA206" s="189"/>
      <c r="AB206" s="189"/>
      <c r="AC206" s="189"/>
      <c r="AD206" s="189"/>
      <c r="AE206" s="189"/>
      <c r="AF206" s="189"/>
      <c r="AG206" s="189"/>
      <c r="AH206" s="189"/>
      <c r="AI206" s="189"/>
      <c r="AJ206" s="189"/>
      <c r="AK206" s="205"/>
      <c r="AL206" s="189"/>
      <c r="AM206" s="189"/>
      <c r="AN206" s="189"/>
      <c r="AO206" s="189"/>
      <c r="AP206" s="189"/>
      <c r="AQ206" s="189"/>
      <c r="AR206" s="189"/>
      <c r="AS206" s="189"/>
      <c r="AT206" s="189"/>
      <c r="AU206" s="189"/>
      <c r="AV206" s="189"/>
      <c r="AW206" s="189"/>
      <c r="AX206" s="189"/>
      <c r="AY206" s="189"/>
      <c r="AZ206" s="189"/>
      <c r="BA206" s="189"/>
      <c r="BB206" s="189"/>
      <c r="BC206" s="189"/>
      <c r="BD206" s="189"/>
      <c r="BE206" s="189"/>
      <c r="BF206" s="189"/>
      <c r="BG206" s="189"/>
      <c r="BH206" s="189"/>
      <c r="BI206" s="189"/>
      <c r="BJ206" s="189"/>
      <c r="BK206" s="189"/>
      <c r="BL206" s="189"/>
      <c r="BM206" s="189"/>
      <c r="BN206" s="189"/>
      <c r="BO206" s="189"/>
      <c r="BP206" s="189"/>
      <c r="BQ206" s="189"/>
      <c r="BR206" s="189"/>
      <c r="BS206" s="189"/>
      <c r="BT206" s="189"/>
      <c r="BU206" s="189"/>
      <c r="BV206" s="189"/>
      <c r="BW206" s="215"/>
      <c r="BX206" s="215">
        <f t="shared" si="6"/>
        <v>0</v>
      </c>
      <c r="BY206" s="189"/>
    </row>
    <row r="207" spans="1:77" ht="29.45" customHeight="1">
      <c r="A207" s="188"/>
      <c r="B207" s="188"/>
      <c r="C207" s="188"/>
      <c r="D207" s="188"/>
      <c r="E207" s="189"/>
      <c r="F207" s="189"/>
      <c r="G207" s="189"/>
      <c r="H207" s="189"/>
      <c r="I207" s="189"/>
      <c r="J207" s="189"/>
      <c r="K207" s="189"/>
      <c r="L207" s="189"/>
      <c r="M207" s="189"/>
      <c r="N207" s="189"/>
      <c r="O207" s="189"/>
      <c r="P207" s="189"/>
      <c r="Q207" s="189"/>
      <c r="R207" s="189"/>
      <c r="S207" s="189"/>
      <c r="T207" s="189"/>
      <c r="U207" s="189"/>
      <c r="V207" s="189"/>
      <c r="W207" s="189"/>
      <c r="X207" s="189"/>
      <c r="Y207" s="189"/>
      <c r="Z207" s="189"/>
      <c r="AA207" s="189"/>
      <c r="AB207" s="189"/>
      <c r="AC207" s="189"/>
      <c r="AD207" s="189"/>
      <c r="AE207" s="189"/>
      <c r="AF207" s="189"/>
      <c r="AG207" s="189"/>
      <c r="AH207" s="189"/>
      <c r="AI207" s="189"/>
      <c r="AJ207" s="189"/>
      <c r="AK207" s="205"/>
      <c r="AL207" s="189"/>
      <c r="AM207" s="189"/>
      <c r="AN207" s="189"/>
      <c r="AO207" s="189"/>
      <c r="AP207" s="189"/>
      <c r="AQ207" s="189"/>
      <c r="AR207" s="189"/>
      <c r="AS207" s="189"/>
      <c r="AT207" s="189"/>
      <c r="AU207" s="189"/>
      <c r="AV207" s="189"/>
      <c r="AW207" s="189"/>
      <c r="AX207" s="189"/>
      <c r="AY207" s="189"/>
      <c r="AZ207" s="189"/>
      <c r="BA207" s="189"/>
      <c r="BB207" s="189"/>
      <c r="BC207" s="189"/>
      <c r="BD207" s="189"/>
      <c r="BE207" s="189"/>
      <c r="BF207" s="189"/>
      <c r="BG207" s="189"/>
      <c r="BH207" s="189"/>
      <c r="BI207" s="189"/>
      <c r="BJ207" s="189"/>
      <c r="BK207" s="189"/>
      <c r="BL207" s="189"/>
      <c r="BM207" s="189"/>
      <c r="BN207" s="189"/>
      <c r="BO207" s="189"/>
      <c r="BP207" s="189"/>
      <c r="BQ207" s="189"/>
      <c r="BR207" s="189"/>
      <c r="BS207" s="189"/>
      <c r="BT207" s="189"/>
      <c r="BU207" s="189"/>
      <c r="BV207" s="189"/>
      <c r="BW207" s="215"/>
      <c r="BX207" s="215">
        <f t="shared" si="6"/>
        <v>0</v>
      </c>
      <c r="BY207" s="189"/>
    </row>
    <row r="208" spans="1:77" ht="29.45" customHeight="1">
      <c r="A208" s="188"/>
      <c r="B208" s="188"/>
      <c r="C208" s="188"/>
      <c r="D208" s="188"/>
      <c r="E208" s="189"/>
      <c r="F208" s="189"/>
      <c r="G208" s="189"/>
      <c r="H208" s="189"/>
      <c r="I208" s="189"/>
      <c r="J208" s="189"/>
      <c r="K208" s="189"/>
      <c r="L208" s="189"/>
      <c r="M208" s="189"/>
      <c r="N208" s="189"/>
      <c r="O208" s="189"/>
      <c r="P208" s="189"/>
      <c r="Q208" s="189"/>
      <c r="R208" s="189"/>
      <c r="S208" s="189"/>
      <c r="T208" s="189"/>
      <c r="U208" s="189"/>
      <c r="V208" s="189"/>
      <c r="W208" s="189"/>
      <c r="X208" s="189"/>
      <c r="Y208" s="189"/>
      <c r="Z208" s="189"/>
      <c r="AA208" s="189"/>
      <c r="AB208" s="189"/>
      <c r="AC208" s="189"/>
      <c r="AD208" s="189"/>
      <c r="AE208" s="189"/>
      <c r="AF208" s="189"/>
      <c r="AG208" s="189"/>
      <c r="AH208" s="189"/>
      <c r="AI208" s="189"/>
      <c r="AJ208" s="189"/>
      <c r="AK208" s="205"/>
      <c r="AL208" s="189"/>
      <c r="AM208" s="189"/>
      <c r="AN208" s="189"/>
      <c r="AO208" s="189"/>
      <c r="AP208" s="189"/>
      <c r="AQ208" s="189"/>
      <c r="AR208" s="189"/>
      <c r="AS208" s="189"/>
      <c r="AT208" s="189"/>
      <c r="AU208" s="189"/>
      <c r="AV208" s="189"/>
      <c r="AW208" s="189"/>
      <c r="AX208" s="189"/>
      <c r="AY208" s="189"/>
      <c r="AZ208" s="189"/>
      <c r="BA208" s="189"/>
      <c r="BB208" s="189"/>
      <c r="BC208" s="189"/>
      <c r="BD208" s="189"/>
      <c r="BE208" s="189"/>
      <c r="BF208" s="189"/>
      <c r="BG208" s="189"/>
      <c r="BH208" s="189"/>
      <c r="BI208" s="189"/>
      <c r="BJ208" s="189"/>
      <c r="BK208" s="189"/>
      <c r="BL208" s="189"/>
      <c r="BM208" s="189"/>
      <c r="BN208" s="189"/>
      <c r="BO208" s="189"/>
      <c r="BP208" s="189"/>
      <c r="BQ208" s="189"/>
      <c r="BR208" s="189"/>
      <c r="BS208" s="189"/>
      <c r="BT208" s="189"/>
      <c r="BU208" s="189"/>
      <c r="BV208" s="189"/>
      <c r="BW208" s="215"/>
      <c r="BX208" s="215">
        <f t="shared" si="6"/>
        <v>0</v>
      </c>
      <c r="BY208" s="189"/>
    </row>
    <row r="209" spans="1:77" ht="29.45" customHeight="1">
      <c r="A209" s="188"/>
      <c r="B209" s="188"/>
      <c r="C209" s="188"/>
      <c r="D209" s="188"/>
      <c r="E209" s="189"/>
      <c r="F209" s="189"/>
      <c r="G209" s="189"/>
      <c r="H209" s="189"/>
      <c r="I209" s="189"/>
      <c r="J209" s="189"/>
      <c r="K209" s="189"/>
      <c r="L209" s="189"/>
      <c r="M209" s="189"/>
      <c r="N209" s="189"/>
      <c r="O209" s="189"/>
      <c r="P209" s="189"/>
      <c r="Q209" s="189"/>
      <c r="R209" s="189"/>
      <c r="S209" s="189"/>
      <c r="T209" s="189"/>
      <c r="U209" s="189"/>
      <c r="V209" s="189"/>
      <c r="W209" s="189"/>
      <c r="X209" s="189"/>
      <c r="Y209" s="189"/>
      <c r="Z209" s="189"/>
      <c r="AA209" s="189"/>
      <c r="AB209" s="189"/>
      <c r="AC209" s="189"/>
      <c r="AD209" s="189"/>
      <c r="AE209" s="189"/>
      <c r="AF209" s="189"/>
      <c r="AG209" s="189"/>
      <c r="AH209" s="189"/>
      <c r="AI209" s="189"/>
      <c r="AJ209" s="189"/>
      <c r="AK209" s="205"/>
      <c r="AL209" s="189"/>
      <c r="AM209" s="189"/>
      <c r="AN209" s="189"/>
      <c r="AO209" s="189"/>
      <c r="AP209" s="189"/>
      <c r="AQ209" s="189"/>
      <c r="AR209" s="189"/>
      <c r="AS209" s="189"/>
      <c r="AT209" s="189"/>
      <c r="AU209" s="189"/>
      <c r="AV209" s="189"/>
      <c r="AW209" s="189"/>
      <c r="AX209" s="189"/>
      <c r="AY209" s="189"/>
      <c r="AZ209" s="189"/>
      <c r="BA209" s="189"/>
      <c r="BB209" s="189"/>
      <c r="BC209" s="189"/>
      <c r="BD209" s="189"/>
      <c r="BE209" s="189"/>
      <c r="BF209" s="189"/>
      <c r="BG209" s="189"/>
      <c r="BH209" s="189"/>
      <c r="BI209" s="189"/>
      <c r="BJ209" s="189"/>
      <c r="BK209" s="189"/>
      <c r="BL209" s="189"/>
      <c r="BM209" s="189"/>
      <c r="BN209" s="189"/>
      <c r="BO209" s="189"/>
      <c r="BP209" s="189"/>
      <c r="BQ209" s="189"/>
      <c r="BR209" s="189"/>
      <c r="BS209" s="189"/>
      <c r="BT209" s="189"/>
      <c r="BU209" s="189"/>
      <c r="BV209" s="189"/>
      <c r="BW209" s="215"/>
      <c r="BX209" s="215">
        <f t="shared" si="6"/>
        <v>0</v>
      </c>
      <c r="BY209" s="189"/>
    </row>
    <row r="210" spans="1:77" ht="29.45" customHeight="1">
      <c r="A210" s="188"/>
      <c r="B210" s="188"/>
      <c r="C210" s="188"/>
      <c r="D210" s="188"/>
      <c r="E210" s="189"/>
      <c r="F210" s="189"/>
      <c r="G210" s="189"/>
      <c r="H210" s="189"/>
      <c r="I210" s="189"/>
      <c r="J210" s="189"/>
      <c r="K210" s="189"/>
      <c r="L210" s="189"/>
      <c r="M210" s="189"/>
      <c r="N210" s="189"/>
      <c r="O210" s="189"/>
      <c r="P210" s="189"/>
      <c r="Q210" s="189"/>
      <c r="R210" s="189"/>
      <c r="S210" s="189"/>
      <c r="T210" s="189"/>
      <c r="U210" s="189"/>
      <c r="V210" s="189"/>
      <c r="W210" s="189"/>
      <c r="X210" s="189"/>
      <c r="Y210" s="189"/>
      <c r="Z210" s="189"/>
      <c r="AA210" s="189"/>
      <c r="AB210" s="189"/>
      <c r="AC210" s="189"/>
      <c r="AD210" s="189"/>
      <c r="AE210" s="189"/>
      <c r="AF210" s="189"/>
      <c r="AG210" s="189"/>
      <c r="AH210" s="189"/>
      <c r="AI210" s="189"/>
      <c r="AJ210" s="189"/>
      <c r="AK210" s="205"/>
      <c r="AL210" s="189"/>
      <c r="AM210" s="189"/>
      <c r="AN210" s="189"/>
      <c r="AO210" s="189"/>
      <c r="AP210" s="189"/>
      <c r="AQ210" s="189"/>
      <c r="AR210" s="189"/>
      <c r="AS210" s="189"/>
      <c r="AT210" s="189"/>
      <c r="AU210" s="189"/>
      <c r="AV210" s="189"/>
      <c r="AW210" s="189"/>
      <c r="AX210" s="189"/>
      <c r="AY210" s="189"/>
      <c r="AZ210" s="189"/>
      <c r="BA210" s="189"/>
      <c r="BB210" s="189"/>
      <c r="BC210" s="189"/>
      <c r="BD210" s="189"/>
      <c r="BE210" s="189"/>
      <c r="BF210" s="189"/>
      <c r="BG210" s="189"/>
      <c r="BH210" s="189"/>
      <c r="BI210" s="189"/>
      <c r="BJ210" s="189"/>
      <c r="BK210" s="189"/>
      <c r="BL210" s="189"/>
      <c r="BM210" s="189"/>
      <c r="BN210" s="189"/>
      <c r="BO210" s="189"/>
      <c r="BP210" s="189"/>
      <c r="BQ210" s="189"/>
      <c r="BR210" s="189"/>
      <c r="BS210" s="189"/>
      <c r="BT210" s="189"/>
      <c r="BU210" s="189"/>
      <c r="BV210" s="189"/>
      <c r="BW210" s="215"/>
      <c r="BX210" s="215">
        <f t="shared" si="6"/>
        <v>0</v>
      </c>
      <c r="BY210" s="189"/>
    </row>
    <row r="211" spans="1:77" ht="29.45" customHeight="1">
      <c r="A211" s="188"/>
      <c r="B211" s="188"/>
      <c r="C211" s="188"/>
      <c r="D211" s="188"/>
      <c r="E211" s="189"/>
      <c r="F211" s="189"/>
      <c r="G211" s="189"/>
      <c r="H211" s="189"/>
      <c r="I211" s="189"/>
      <c r="J211" s="189"/>
      <c r="K211" s="189"/>
      <c r="L211" s="189"/>
      <c r="M211" s="189"/>
      <c r="N211" s="189"/>
      <c r="O211" s="189"/>
      <c r="P211" s="189"/>
      <c r="Q211" s="189"/>
      <c r="R211" s="189"/>
      <c r="S211" s="189"/>
      <c r="T211" s="189"/>
      <c r="U211" s="189"/>
      <c r="V211" s="189"/>
      <c r="W211" s="189"/>
      <c r="X211" s="189"/>
      <c r="Y211" s="189"/>
      <c r="Z211" s="189"/>
      <c r="AA211" s="189"/>
      <c r="AB211" s="189"/>
      <c r="AC211" s="189"/>
      <c r="AD211" s="189"/>
      <c r="AE211" s="189"/>
      <c r="AF211" s="189"/>
      <c r="AG211" s="189"/>
      <c r="AH211" s="189"/>
      <c r="AI211" s="189"/>
      <c r="AJ211" s="189"/>
      <c r="AK211" s="205"/>
      <c r="AL211" s="189"/>
      <c r="AM211" s="189"/>
      <c r="AN211" s="189"/>
      <c r="AO211" s="189"/>
      <c r="AP211" s="189"/>
      <c r="AQ211" s="189"/>
      <c r="AR211" s="189"/>
      <c r="AS211" s="189"/>
      <c r="AT211" s="189"/>
      <c r="AU211" s="189"/>
      <c r="AV211" s="189"/>
      <c r="AW211" s="189"/>
      <c r="AX211" s="189"/>
      <c r="AY211" s="189"/>
      <c r="AZ211" s="189"/>
      <c r="BA211" s="189"/>
      <c r="BB211" s="189"/>
      <c r="BC211" s="189"/>
      <c r="BD211" s="189"/>
      <c r="BE211" s="189"/>
      <c r="BF211" s="189"/>
      <c r="BG211" s="189"/>
      <c r="BH211" s="189"/>
      <c r="BI211" s="189"/>
      <c r="BJ211" s="189"/>
      <c r="BK211" s="189"/>
      <c r="BL211" s="189"/>
      <c r="BM211" s="189"/>
      <c r="BN211" s="189"/>
      <c r="BO211" s="189"/>
      <c r="BP211" s="189"/>
      <c r="BQ211" s="189"/>
      <c r="BR211" s="189"/>
      <c r="BS211" s="189"/>
      <c r="BT211" s="189"/>
      <c r="BU211" s="189"/>
      <c r="BV211" s="189"/>
      <c r="BW211" s="215"/>
      <c r="BX211" s="215">
        <f t="shared" si="6"/>
        <v>0</v>
      </c>
      <c r="BY211" s="189"/>
    </row>
    <row r="212" spans="1:77" ht="29.45" customHeight="1">
      <c r="A212" s="188"/>
      <c r="B212" s="188"/>
      <c r="C212" s="188"/>
      <c r="D212" s="188"/>
      <c r="E212" s="189"/>
      <c r="F212" s="189"/>
      <c r="G212" s="189"/>
      <c r="H212" s="189"/>
      <c r="I212" s="189"/>
      <c r="J212" s="189"/>
      <c r="K212" s="189"/>
      <c r="L212" s="189"/>
      <c r="M212" s="189"/>
      <c r="N212" s="189"/>
      <c r="O212" s="189"/>
      <c r="P212" s="189"/>
      <c r="Q212" s="189"/>
      <c r="R212" s="189"/>
      <c r="S212" s="189"/>
      <c r="T212" s="189"/>
      <c r="U212" s="189"/>
      <c r="V212" s="189"/>
      <c r="W212" s="189"/>
      <c r="X212" s="189"/>
      <c r="Y212" s="189"/>
      <c r="Z212" s="189"/>
      <c r="AA212" s="189"/>
      <c r="AB212" s="189"/>
      <c r="AC212" s="189"/>
      <c r="AD212" s="189"/>
      <c r="AE212" s="189"/>
      <c r="AF212" s="189"/>
      <c r="AG212" s="189"/>
      <c r="AH212" s="189"/>
      <c r="AI212" s="189"/>
      <c r="AJ212" s="189"/>
      <c r="AK212" s="205"/>
      <c r="AL212" s="189"/>
      <c r="AM212" s="189"/>
      <c r="AN212" s="189"/>
      <c r="AO212" s="189"/>
      <c r="AP212" s="189"/>
      <c r="AQ212" s="189"/>
      <c r="AR212" s="189"/>
      <c r="AS212" s="189"/>
      <c r="AT212" s="189"/>
      <c r="AU212" s="189"/>
      <c r="AV212" s="189"/>
      <c r="AW212" s="189"/>
      <c r="AX212" s="189"/>
      <c r="AY212" s="189"/>
      <c r="AZ212" s="189"/>
      <c r="BA212" s="189"/>
      <c r="BB212" s="189"/>
      <c r="BC212" s="189"/>
      <c r="BD212" s="189"/>
      <c r="BE212" s="189"/>
      <c r="BF212" s="189"/>
      <c r="BG212" s="189"/>
      <c r="BH212" s="189"/>
      <c r="BI212" s="189"/>
      <c r="BJ212" s="189"/>
      <c r="BK212" s="189"/>
      <c r="BL212" s="189"/>
      <c r="BM212" s="189"/>
      <c r="BN212" s="189"/>
      <c r="BO212" s="189"/>
      <c r="BP212" s="189"/>
      <c r="BQ212" s="189"/>
      <c r="BR212" s="189"/>
      <c r="BS212" s="189"/>
      <c r="BT212" s="189"/>
      <c r="BU212" s="189"/>
      <c r="BV212" s="189"/>
      <c r="BW212" s="215"/>
      <c r="BX212" s="215">
        <f t="shared" si="6"/>
        <v>0</v>
      </c>
      <c r="BY212" s="189"/>
    </row>
    <row r="213" spans="1:77" ht="29.45" customHeight="1">
      <c r="A213" s="188"/>
      <c r="B213" s="188"/>
      <c r="C213" s="188"/>
      <c r="D213" s="188"/>
      <c r="E213" s="189"/>
      <c r="F213" s="189"/>
      <c r="G213" s="189"/>
      <c r="H213" s="189"/>
      <c r="I213" s="189"/>
      <c r="J213" s="189"/>
      <c r="K213" s="189"/>
      <c r="L213" s="189"/>
      <c r="M213" s="189"/>
      <c r="N213" s="189"/>
      <c r="O213" s="189"/>
      <c r="P213" s="189"/>
      <c r="Q213" s="189"/>
      <c r="R213" s="189"/>
      <c r="S213" s="189"/>
      <c r="T213" s="189"/>
      <c r="U213" s="189"/>
      <c r="V213" s="189"/>
      <c r="W213" s="189"/>
      <c r="X213" s="189"/>
      <c r="Y213" s="189"/>
      <c r="Z213" s="189"/>
      <c r="AA213" s="189"/>
      <c r="AB213" s="189"/>
      <c r="AC213" s="189"/>
      <c r="AD213" s="189"/>
      <c r="AE213" s="189"/>
      <c r="AF213" s="189"/>
      <c r="AG213" s="189"/>
      <c r="AH213" s="189"/>
      <c r="AI213" s="189"/>
      <c r="AJ213" s="189"/>
      <c r="AK213" s="205"/>
      <c r="AL213" s="189"/>
      <c r="AM213" s="189"/>
      <c r="AN213" s="189"/>
      <c r="AO213" s="189"/>
      <c r="AP213" s="189"/>
      <c r="AQ213" s="189"/>
      <c r="AR213" s="189"/>
      <c r="AS213" s="189"/>
      <c r="AT213" s="189"/>
      <c r="AU213" s="189"/>
      <c r="AV213" s="189"/>
      <c r="AW213" s="189"/>
      <c r="AX213" s="189"/>
      <c r="AY213" s="189"/>
      <c r="AZ213" s="189"/>
      <c r="BA213" s="189"/>
      <c r="BB213" s="189"/>
      <c r="BC213" s="189"/>
      <c r="BD213" s="189"/>
      <c r="BE213" s="189"/>
      <c r="BF213" s="189"/>
      <c r="BG213" s="189"/>
      <c r="BH213" s="189"/>
      <c r="BI213" s="189"/>
      <c r="BJ213" s="189"/>
      <c r="BK213" s="189"/>
      <c r="BL213" s="189"/>
      <c r="BM213" s="189"/>
      <c r="BN213" s="189"/>
      <c r="BO213" s="189"/>
      <c r="BP213" s="189"/>
      <c r="BQ213" s="189"/>
      <c r="BR213" s="189"/>
      <c r="BS213" s="189"/>
      <c r="BT213" s="189"/>
      <c r="BU213" s="189"/>
      <c r="BV213" s="189"/>
      <c r="BW213" s="215"/>
      <c r="BX213" s="215">
        <f t="shared" si="6"/>
        <v>0</v>
      </c>
      <c r="BY213" s="189"/>
    </row>
    <row r="214" spans="1:77" ht="29.45" customHeight="1">
      <c r="A214" s="188"/>
      <c r="B214" s="188"/>
      <c r="C214" s="188"/>
      <c r="D214" s="188"/>
      <c r="E214" s="189"/>
      <c r="F214" s="189"/>
      <c r="G214" s="189"/>
      <c r="H214" s="189"/>
      <c r="I214" s="189"/>
      <c r="J214" s="189"/>
      <c r="K214" s="189"/>
      <c r="L214" s="189"/>
      <c r="M214" s="189"/>
      <c r="N214" s="189"/>
      <c r="O214" s="189"/>
      <c r="P214" s="189"/>
      <c r="Q214" s="189"/>
      <c r="R214" s="189"/>
      <c r="S214" s="189"/>
      <c r="T214" s="189"/>
      <c r="U214" s="189"/>
      <c r="V214" s="189"/>
      <c r="W214" s="189"/>
      <c r="X214" s="189"/>
      <c r="Y214" s="189"/>
      <c r="Z214" s="189"/>
      <c r="AA214" s="189"/>
      <c r="AB214" s="189"/>
      <c r="AC214" s="189"/>
      <c r="AD214" s="189"/>
      <c r="AE214" s="189"/>
      <c r="AF214" s="189"/>
      <c r="AG214" s="189"/>
      <c r="AH214" s="189"/>
      <c r="AI214" s="189"/>
      <c r="AJ214" s="189"/>
      <c r="AK214" s="205"/>
      <c r="AL214" s="189"/>
      <c r="AM214" s="189"/>
      <c r="AN214" s="189"/>
      <c r="AO214" s="189"/>
      <c r="AP214" s="189"/>
      <c r="AQ214" s="189"/>
      <c r="AR214" s="189"/>
      <c r="AS214" s="189"/>
      <c r="AT214" s="189"/>
      <c r="AU214" s="189"/>
      <c r="AV214" s="189"/>
      <c r="AW214" s="189"/>
      <c r="AX214" s="189"/>
      <c r="AY214" s="189"/>
      <c r="AZ214" s="189"/>
      <c r="BA214" s="189"/>
      <c r="BB214" s="189"/>
      <c r="BC214" s="189"/>
      <c r="BD214" s="189"/>
      <c r="BE214" s="189"/>
      <c r="BF214" s="189"/>
      <c r="BG214" s="189"/>
      <c r="BH214" s="189"/>
      <c r="BI214" s="189"/>
      <c r="BJ214" s="189"/>
      <c r="BK214" s="189"/>
      <c r="BL214" s="189"/>
      <c r="BM214" s="189"/>
      <c r="BN214" s="189"/>
      <c r="BO214" s="189"/>
      <c r="BP214" s="189"/>
      <c r="BQ214" s="189"/>
      <c r="BR214" s="189"/>
      <c r="BS214" s="189"/>
      <c r="BT214" s="189"/>
      <c r="BU214" s="189"/>
      <c r="BV214" s="189"/>
      <c r="BW214" s="215"/>
      <c r="BX214" s="215">
        <f t="shared" si="6"/>
        <v>0</v>
      </c>
      <c r="BY214" s="189"/>
    </row>
    <row r="215" spans="1:77" ht="29.45" customHeight="1">
      <c r="A215" s="188"/>
      <c r="B215" s="188"/>
      <c r="C215" s="188"/>
      <c r="D215" s="188"/>
      <c r="E215" s="189"/>
      <c r="F215" s="189"/>
      <c r="G215" s="189"/>
      <c r="H215" s="189"/>
      <c r="I215" s="189"/>
      <c r="J215" s="189"/>
      <c r="K215" s="189"/>
      <c r="L215" s="189"/>
      <c r="M215" s="189"/>
      <c r="N215" s="189"/>
      <c r="O215" s="189"/>
      <c r="P215" s="189"/>
      <c r="Q215" s="189"/>
      <c r="R215" s="189"/>
      <c r="S215" s="189"/>
      <c r="T215" s="189"/>
      <c r="U215" s="189"/>
      <c r="V215" s="189"/>
      <c r="W215" s="189"/>
      <c r="X215" s="189"/>
      <c r="Y215" s="189"/>
      <c r="Z215" s="189"/>
      <c r="AA215" s="189"/>
      <c r="AB215" s="189"/>
      <c r="AC215" s="189"/>
      <c r="AD215" s="189"/>
      <c r="AE215" s="189"/>
      <c r="AF215" s="189"/>
      <c r="AG215" s="189"/>
      <c r="AH215" s="189"/>
      <c r="AI215" s="189"/>
      <c r="AJ215" s="189"/>
      <c r="AK215" s="205"/>
      <c r="AL215" s="189"/>
      <c r="AM215" s="189"/>
      <c r="AN215" s="189"/>
      <c r="AO215" s="189"/>
      <c r="AP215" s="189"/>
      <c r="AQ215" s="189"/>
      <c r="AR215" s="189"/>
      <c r="AS215" s="189"/>
      <c r="AT215" s="189"/>
      <c r="AU215" s="189"/>
      <c r="AV215" s="189"/>
      <c r="AW215" s="189"/>
      <c r="AX215" s="189"/>
      <c r="AY215" s="189"/>
      <c r="AZ215" s="189"/>
      <c r="BA215" s="189"/>
      <c r="BB215" s="189"/>
      <c r="BC215" s="189"/>
      <c r="BD215" s="189"/>
      <c r="BE215" s="189"/>
      <c r="BF215" s="189"/>
      <c r="BG215" s="189"/>
      <c r="BH215" s="189"/>
      <c r="BI215" s="189"/>
      <c r="BJ215" s="189"/>
      <c r="BK215" s="189"/>
      <c r="BL215" s="189"/>
      <c r="BM215" s="189"/>
      <c r="BN215" s="189"/>
      <c r="BO215" s="189"/>
      <c r="BP215" s="189"/>
      <c r="BQ215" s="189"/>
      <c r="BR215" s="189"/>
      <c r="BS215" s="189"/>
      <c r="BT215" s="189"/>
      <c r="BU215" s="189"/>
      <c r="BV215" s="189"/>
      <c r="BW215" s="215"/>
      <c r="BX215" s="215">
        <f t="shared" si="6"/>
        <v>0</v>
      </c>
      <c r="BY215" s="189"/>
    </row>
    <row r="216" spans="1:77" ht="29.45" customHeight="1">
      <c r="A216" s="188"/>
      <c r="B216" s="188"/>
      <c r="C216" s="188"/>
      <c r="D216" s="188"/>
      <c r="E216" s="189"/>
      <c r="F216" s="189"/>
      <c r="G216" s="189"/>
      <c r="H216" s="189"/>
      <c r="I216" s="189"/>
      <c r="J216" s="189"/>
      <c r="K216" s="189"/>
      <c r="L216" s="189"/>
      <c r="M216" s="189"/>
      <c r="N216" s="189"/>
      <c r="O216" s="189"/>
      <c r="P216" s="189"/>
      <c r="Q216" s="189"/>
      <c r="R216" s="189"/>
      <c r="S216" s="189"/>
      <c r="T216" s="189"/>
      <c r="U216" s="189"/>
      <c r="V216" s="189"/>
      <c r="W216" s="189"/>
      <c r="X216" s="189"/>
      <c r="Y216" s="189"/>
      <c r="Z216" s="189"/>
      <c r="AA216" s="189"/>
      <c r="AB216" s="189"/>
      <c r="AC216" s="189"/>
      <c r="AD216" s="189"/>
      <c r="AE216" s="189"/>
      <c r="AF216" s="189"/>
      <c r="AG216" s="189"/>
      <c r="AH216" s="189"/>
      <c r="AI216" s="189"/>
      <c r="AJ216" s="189"/>
      <c r="AK216" s="205"/>
      <c r="AL216" s="189"/>
      <c r="AM216" s="189"/>
      <c r="AN216" s="189"/>
      <c r="AO216" s="189"/>
      <c r="AP216" s="189"/>
      <c r="AQ216" s="189"/>
      <c r="AR216" s="189"/>
      <c r="AS216" s="189"/>
      <c r="AT216" s="189"/>
      <c r="AU216" s="189"/>
      <c r="AV216" s="189"/>
      <c r="AW216" s="189"/>
      <c r="AX216" s="189"/>
      <c r="AY216" s="189"/>
      <c r="AZ216" s="189"/>
      <c r="BA216" s="189"/>
      <c r="BB216" s="189"/>
      <c r="BC216" s="189"/>
      <c r="BD216" s="189"/>
      <c r="BE216" s="189"/>
      <c r="BF216" s="189"/>
      <c r="BG216" s="189"/>
      <c r="BH216" s="189"/>
      <c r="BI216" s="189"/>
      <c r="BJ216" s="189"/>
      <c r="BK216" s="189"/>
      <c r="BL216" s="189"/>
      <c r="BM216" s="189"/>
      <c r="BN216" s="189"/>
      <c r="BO216" s="189"/>
      <c r="BP216" s="189"/>
      <c r="BQ216" s="189"/>
      <c r="BR216" s="189"/>
      <c r="BS216" s="189"/>
      <c r="BT216" s="189"/>
      <c r="BU216" s="189"/>
      <c r="BV216" s="189"/>
      <c r="BW216" s="215"/>
      <c r="BX216" s="215">
        <f t="shared" si="6"/>
        <v>0</v>
      </c>
      <c r="BY216" s="189"/>
    </row>
    <row r="217" spans="1:77" ht="29.45" customHeight="1">
      <c r="A217" s="188"/>
      <c r="B217" s="188"/>
      <c r="C217" s="188"/>
      <c r="D217" s="188"/>
      <c r="E217" s="189"/>
      <c r="F217" s="189"/>
      <c r="G217" s="189"/>
      <c r="H217" s="189"/>
      <c r="I217" s="189"/>
      <c r="J217" s="189"/>
      <c r="K217" s="189"/>
      <c r="L217" s="189"/>
      <c r="M217" s="189"/>
      <c r="N217" s="189"/>
      <c r="O217" s="189"/>
      <c r="P217" s="189"/>
      <c r="Q217" s="189"/>
      <c r="R217" s="189"/>
      <c r="S217" s="189"/>
      <c r="T217" s="189"/>
      <c r="U217" s="189"/>
      <c r="V217" s="189"/>
      <c r="W217" s="189"/>
      <c r="X217" s="189"/>
      <c r="Y217" s="189"/>
      <c r="Z217" s="189"/>
      <c r="AA217" s="189"/>
      <c r="AB217" s="189"/>
      <c r="AC217" s="189"/>
      <c r="AD217" s="189"/>
      <c r="AE217" s="189"/>
      <c r="AF217" s="189"/>
      <c r="AG217" s="189"/>
      <c r="AH217" s="189"/>
      <c r="AI217" s="189"/>
      <c r="AJ217" s="189"/>
      <c r="AK217" s="205"/>
      <c r="AL217" s="189"/>
      <c r="AM217" s="189"/>
      <c r="AN217" s="189"/>
      <c r="AO217" s="189"/>
      <c r="AP217" s="189"/>
      <c r="AQ217" s="189"/>
      <c r="AR217" s="189"/>
      <c r="AS217" s="189"/>
      <c r="AT217" s="189"/>
      <c r="AU217" s="189"/>
      <c r="AV217" s="189"/>
      <c r="AW217" s="189"/>
      <c r="AX217" s="189"/>
      <c r="AY217" s="189"/>
      <c r="AZ217" s="189"/>
      <c r="BA217" s="189"/>
      <c r="BB217" s="189"/>
      <c r="BC217" s="189"/>
      <c r="BD217" s="189"/>
      <c r="BE217" s="189"/>
      <c r="BF217" s="189"/>
      <c r="BG217" s="189"/>
      <c r="BH217" s="189"/>
      <c r="BI217" s="189"/>
      <c r="BJ217" s="189"/>
      <c r="BK217" s="189"/>
      <c r="BL217" s="189"/>
      <c r="BM217" s="189"/>
      <c r="BN217" s="189"/>
      <c r="BO217" s="189"/>
      <c r="BP217" s="189"/>
      <c r="BQ217" s="189"/>
      <c r="BR217" s="189"/>
      <c r="BS217" s="189"/>
      <c r="BT217" s="189"/>
      <c r="BU217" s="189"/>
      <c r="BV217" s="189"/>
      <c r="BW217" s="215"/>
      <c r="BX217" s="215">
        <f t="shared" si="6"/>
        <v>0</v>
      </c>
      <c r="BY217" s="189"/>
    </row>
    <row r="218" spans="1:77" ht="29.45" customHeight="1">
      <c r="A218" s="188"/>
      <c r="B218" s="188"/>
      <c r="C218" s="188"/>
      <c r="D218" s="188"/>
      <c r="E218" s="189"/>
      <c r="F218" s="189"/>
      <c r="G218" s="189"/>
      <c r="H218" s="189"/>
      <c r="I218" s="189"/>
      <c r="J218" s="189"/>
      <c r="K218" s="189"/>
      <c r="L218" s="189"/>
      <c r="M218" s="189"/>
      <c r="N218" s="189"/>
      <c r="O218" s="189"/>
      <c r="P218" s="189"/>
      <c r="Q218" s="189"/>
      <c r="R218" s="189"/>
      <c r="S218" s="189"/>
      <c r="T218" s="189"/>
      <c r="U218" s="189"/>
      <c r="V218" s="189"/>
      <c r="W218" s="189"/>
      <c r="X218" s="189"/>
      <c r="Y218" s="189"/>
      <c r="Z218" s="189"/>
      <c r="AA218" s="189"/>
      <c r="AB218" s="189"/>
      <c r="AC218" s="189"/>
      <c r="AD218" s="189"/>
      <c r="AE218" s="189"/>
      <c r="AF218" s="189"/>
      <c r="AG218" s="189"/>
      <c r="AH218" s="189"/>
      <c r="AI218" s="189"/>
      <c r="AJ218" s="189"/>
      <c r="AK218" s="205"/>
      <c r="AL218" s="189"/>
      <c r="AM218" s="189"/>
      <c r="AN218" s="189"/>
      <c r="AO218" s="189"/>
      <c r="AP218" s="189"/>
      <c r="AQ218" s="189"/>
      <c r="AR218" s="189"/>
      <c r="AS218" s="189"/>
      <c r="AT218" s="189"/>
      <c r="AU218" s="189"/>
      <c r="AV218" s="189"/>
      <c r="AW218" s="189"/>
      <c r="AX218" s="189"/>
      <c r="AY218" s="189"/>
      <c r="AZ218" s="189"/>
      <c r="BA218" s="189"/>
      <c r="BB218" s="189"/>
      <c r="BC218" s="189"/>
      <c r="BD218" s="189"/>
      <c r="BE218" s="189"/>
      <c r="BF218" s="189"/>
      <c r="BG218" s="189"/>
      <c r="BH218" s="189"/>
      <c r="BI218" s="189"/>
      <c r="BJ218" s="189"/>
      <c r="BK218" s="189"/>
      <c r="BL218" s="189"/>
      <c r="BM218" s="189"/>
      <c r="BN218" s="189"/>
      <c r="BO218" s="189"/>
      <c r="BP218" s="189"/>
      <c r="BQ218" s="189"/>
      <c r="BR218" s="189"/>
      <c r="BS218" s="189"/>
      <c r="BT218" s="189"/>
      <c r="BU218" s="189"/>
      <c r="BV218" s="189"/>
      <c r="BW218" s="215"/>
      <c r="BX218" s="215">
        <f t="shared" si="6"/>
        <v>0</v>
      </c>
      <c r="BY218" s="189"/>
    </row>
    <row r="219" spans="1:77" ht="29.45" customHeight="1">
      <c r="A219" s="188"/>
      <c r="B219" s="188"/>
      <c r="C219" s="188"/>
      <c r="D219" s="188"/>
      <c r="E219" s="189"/>
      <c r="F219" s="189"/>
      <c r="G219" s="189"/>
      <c r="H219" s="189"/>
      <c r="I219" s="189"/>
      <c r="J219" s="189"/>
      <c r="K219" s="189"/>
      <c r="L219" s="189"/>
      <c r="M219" s="189"/>
      <c r="N219" s="189"/>
      <c r="O219" s="189"/>
      <c r="P219" s="189"/>
      <c r="Q219" s="189"/>
      <c r="R219" s="189"/>
      <c r="S219" s="189"/>
      <c r="T219" s="189"/>
      <c r="U219" s="189"/>
      <c r="V219" s="189"/>
      <c r="W219" s="189"/>
      <c r="X219" s="189"/>
      <c r="Y219" s="189"/>
      <c r="Z219" s="189"/>
      <c r="AA219" s="189"/>
      <c r="AB219" s="189"/>
      <c r="AC219" s="189"/>
      <c r="AD219" s="189"/>
      <c r="AE219" s="189"/>
      <c r="AF219" s="189"/>
      <c r="AG219" s="189"/>
      <c r="AH219" s="189"/>
      <c r="AI219" s="189"/>
      <c r="AJ219" s="189"/>
      <c r="AK219" s="205"/>
      <c r="AL219" s="189"/>
      <c r="AM219" s="189"/>
      <c r="AN219" s="189"/>
      <c r="AO219" s="189"/>
      <c r="AP219" s="189"/>
      <c r="AQ219" s="189"/>
      <c r="AR219" s="189"/>
      <c r="AS219" s="189"/>
      <c r="AT219" s="189"/>
      <c r="AU219" s="189"/>
      <c r="AV219" s="189"/>
      <c r="AW219" s="189"/>
      <c r="AX219" s="189"/>
      <c r="AY219" s="189"/>
      <c r="AZ219" s="189"/>
      <c r="BA219" s="189"/>
      <c r="BB219" s="189"/>
      <c r="BC219" s="189"/>
      <c r="BD219" s="189"/>
      <c r="BE219" s="189"/>
      <c r="BF219" s="189"/>
      <c r="BG219" s="189"/>
      <c r="BH219" s="189"/>
      <c r="BI219" s="189"/>
      <c r="BJ219" s="189"/>
      <c r="BK219" s="189"/>
      <c r="BL219" s="189"/>
      <c r="BM219" s="189"/>
      <c r="BN219" s="189"/>
      <c r="BO219" s="189"/>
      <c r="BP219" s="189"/>
      <c r="BQ219" s="189"/>
      <c r="BR219" s="189"/>
      <c r="BS219" s="189"/>
      <c r="BT219" s="189"/>
      <c r="BU219" s="189"/>
      <c r="BV219" s="189"/>
      <c r="BW219" s="215"/>
      <c r="BX219" s="215">
        <f t="shared" si="6"/>
        <v>0</v>
      </c>
      <c r="BY219" s="189"/>
    </row>
    <row r="220" spans="1:77" ht="29.45" customHeight="1">
      <c r="A220" s="188"/>
      <c r="B220" s="188"/>
      <c r="C220" s="188"/>
      <c r="D220" s="188"/>
      <c r="E220" s="189"/>
      <c r="F220" s="189"/>
      <c r="G220" s="189"/>
      <c r="H220" s="189"/>
      <c r="I220" s="189"/>
      <c r="J220" s="189"/>
      <c r="K220" s="189"/>
      <c r="L220" s="189"/>
      <c r="M220" s="189"/>
      <c r="N220" s="189"/>
      <c r="O220" s="189"/>
      <c r="P220" s="189"/>
      <c r="Q220" s="189"/>
      <c r="R220" s="189"/>
      <c r="S220" s="189"/>
      <c r="T220" s="189"/>
      <c r="U220" s="189"/>
      <c r="V220" s="189"/>
      <c r="W220" s="189"/>
      <c r="X220" s="189"/>
      <c r="Y220" s="189"/>
      <c r="Z220" s="189"/>
      <c r="AA220" s="189"/>
      <c r="AB220" s="189"/>
      <c r="AC220" s="189"/>
      <c r="AD220" s="189"/>
      <c r="AE220" s="189"/>
      <c r="AF220" s="189"/>
      <c r="AG220" s="189"/>
      <c r="AH220" s="189"/>
      <c r="AI220" s="189"/>
      <c r="AJ220" s="189"/>
      <c r="AK220" s="205"/>
      <c r="AL220" s="189"/>
      <c r="AM220" s="189"/>
      <c r="AN220" s="189"/>
      <c r="AO220" s="189"/>
      <c r="AP220" s="189"/>
      <c r="AQ220" s="189"/>
      <c r="AR220" s="189"/>
      <c r="AS220" s="189"/>
      <c r="AT220" s="189"/>
      <c r="AU220" s="189"/>
      <c r="AV220" s="189"/>
      <c r="AW220" s="189"/>
      <c r="AX220" s="189"/>
      <c r="AY220" s="189"/>
      <c r="AZ220" s="189"/>
      <c r="BA220" s="189"/>
      <c r="BB220" s="189"/>
      <c r="BC220" s="189"/>
      <c r="BD220" s="189"/>
      <c r="BE220" s="189"/>
      <c r="BF220" s="189"/>
      <c r="BG220" s="189"/>
      <c r="BH220" s="189"/>
      <c r="BI220" s="189"/>
      <c r="BJ220" s="189"/>
      <c r="BK220" s="189"/>
      <c r="BL220" s="189"/>
      <c r="BM220" s="189"/>
      <c r="BN220" s="189"/>
      <c r="BO220" s="189"/>
      <c r="BP220" s="189"/>
      <c r="BQ220" s="189"/>
      <c r="BR220" s="189"/>
      <c r="BS220" s="189"/>
      <c r="BT220" s="189"/>
      <c r="BU220" s="189"/>
      <c r="BV220" s="189"/>
      <c r="BW220" s="215"/>
      <c r="BX220" s="215">
        <f t="shared" si="6"/>
        <v>0</v>
      </c>
      <c r="BY220" s="189"/>
    </row>
    <row r="221" spans="1:77" ht="29.45" customHeight="1">
      <c r="A221" s="188"/>
      <c r="B221" s="188"/>
      <c r="C221" s="188"/>
      <c r="D221" s="188"/>
      <c r="E221" s="189"/>
      <c r="F221" s="189"/>
      <c r="G221" s="189"/>
      <c r="H221" s="189"/>
      <c r="I221" s="189"/>
      <c r="J221" s="189"/>
      <c r="K221" s="189"/>
      <c r="L221" s="189"/>
      <c r="M221" s="189"/>
      <c r="N221" s="189"/>
      <c r="O221" s="189"/>
      <c r="P221" s="189"/>
      <c r="Q221" s="189"/>
      <c r="R221" s="189"/>
      <c r="S221" s="189"/>
      <c r="T221" s="189"/>
      <c r="U221" s="189"/>
      <c r="V221" s="189"/>
      <c r="W221" s="189"/>
      <c r="X221" s="189"/>
      <c r="Y221" s="189"/>
      <c r="Z221" s="189"/>
      <c r="AA221" s="189"/>
      <c r="AB221" s="189"/>
      <c r="AC221" s="189"/>
      <c r="AD221" s="189"/>
      <c r="AE221" s="189"/>
      <c r="AF221" s="189"/>
      <c r="AG221" s="189"/>
      <c r="AH221" s="189"/>
      <c r="AI221" s="189"/>
      <c r="AJ221" s="189"/>
      <c r="AK221" s="205"/>
      <c r="AL221" s="189"/>
      <c r="AM221" s="189"/>
      <c r="AN221" s="189"/>
      <c r="AO221" s="189"/>
      <c r="AP221" s="189"/>
      <c r="AQ221" s="189"/>
      <c r="AR221" s="189"/>
      <c r="AS221" s="189"/>
      <c r="AT221" s="189"/>
      <c r="AU221" s="189"/>
      <c r="AV221" s="189"/>
      <c r="AW221" s="189"/>
      <c r="AX221" s="189"/>
      <c r="AY221" s="189"/>
      <c r="AZ221" s="189"/>
      <c r="BA221" s="189"/>
      <c r="BB221" s="189"/>
      <c r="BC221" s="189"/>
      <c r="BD221" s="189"/>
      <c r="BE221" s="189"/>
      <c r="BF221" s="189"/>
      <c r="BG221" s="189"/>
      <c r="BH221" s="189"/>
      <c r="BI221" s="189"/>
      <c r="BJ221" s="189"/>
      <c r="BK221" s="189"/>
      <c r="BL221" s="189"/>
      <c r="BM221" s="189"/>
      <c r="BN221" s="189"/>
      <c r="BO221" s="189"/>
      <c r="BP221" s="189"/>
      <c r="BQ221" s="189"/>
      <c r="BR221" s="189"/>
      <c r="BS221" s="189"/>
      <c r="BT221" s="189"/>
      <c r="BU221" s="189"/>
      <c r="BV221" s="189"/>
      <c r="BW221" s="215"/>
      <c r="BX221" s="215">
        <f t="shared" si="6"/>
        <v>0</v>
      </c>
      <c r="BY221" s="189"/>
    </row>
    <row r="222" spans="1:77" ht="29.45" customHeight="1">
      <c r="A222" s="188"/>
      <c r="B222" s="188"/>
      <c r="C222" s="188"/>
      <c r="D222" s="188"/>
      <c r="E222" s="189"/>
      <c r="F222" s="189"/>
      <c r="G222" s="189"/>
      <c r="H222" s="189"/>
      <c r="I222" s="189"/>
      <c r="J222" s="189"/>
      <c r="K222" s="189"/>
      <c r="L222" s="189"/>
      <c r="M222" s="189"/>
      <c r="N222" s="189"/>
      <c r="O222" s="189"/>
      <c r="P222" s="189"/>
      <c r="Q222" s="189"/>
      <c r="R222" s="189"/>
      <c r="S222" s="189"/>
      <c r="T222" s="189"/>
      <c r="U222" s="189"/>
      <c r="V222" s="189"/>
      <c r="W222" s="189"/>
      <c r="X222" s="189"/>
      <c r="Y222" s="189"/>
      <c r="Z222" s="189"/>
      <c r="AA222" s="189"/>
      <c r="AB222" s="189"/>
      <c r="AC222" s="189"/>
      <c r="AD222" s="189"/>
      <c r="AE222" s="189"/>
      <c r="AF222" s="189"/>
      <c r="AG222" s="189"/>
      <c r="AH222" s="189"/>
      <c r="AI222" s="189"/>
      <c r="AJ222" s="189"/>
      <c r="AK222" s="205"/>
      <c r="AL222" s="189"/>
      <c r="AM222" s="189"/>
      <c r="AN222" s="189"/>
      <c r="AO222" s="189"/>
      <c r="AP222" s="189"/>
      <c r="AQ222" s="189"/>
      <c r="AR222" s="189"/>
      <c r="AS222" s="189"/>
      <c r="AT222" s="189"/>
      <c r="AU222" s="189"/>
      <c r="AV222" s="189"/>
      <c r="AW222" s="189"/>
      <c r="AX222" s="189"/>
      <c r="AY222" s="189"/>
      <c r="AZ222" s="189"/>
      <c r="BA222" s="189"/>
      <c r="BB222" s="189"/>
      <c r="BC222" s="189"/>
      <c r="BD222" s="189"/>
      <c r="BE222" s="189"/>
      <c r="BF222" s="189"/>
      <c r="BG222" s="189"/>
      <c r="BH222" s="189"/>
      <c r="BI222" s="189"/>
      <c r="BJ222" s="189"/>
      <c r="BK222" s="189"/>
      <c r="BL222" s="189"/>
      <c r="BM222" s="189"/>
      <c r="BN222" s="189"/>
      <c r="BO222" s="189"/>
      <c r="BP222" s="189"/>
      <c r="BQ222" s="189"/>
      <c r="BR222" s="189"/>
      <c r="BS222" s="189"/>
      <c r="BT222" s="189"/>
      <c r="BU222" s="189"/>
      <c r="BV222" s="189"/>
      <c r="BW222" s="189"/>
      <c r="BX222" s="189"/>
      <c r="BY222" s="189"/>
    </row>
  </sheetData>
  <mergeCells count="1">
    <mergeCell ref="B1:F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4"/>
  <sheetViews>
    <sheetView workbookViewId="0">
      <pane ySplit="2" topLeftCell="A3" activePane="bottomLeft" state="frozen"/>
      <selection pane="bottomLeft" activeCell="B3" sqref="B3:B91"/>
    </sheetView>
  </sheetViews>
  <sheetFormatPr defaultColWidth="8.7109375" defaultRowHeight="12.75"/>
  <cols>
    <col min="1" max="1" width="11" style="21" customWidth="1"/>
    <col min="2" max="2" width="27.5703125" style="164" customWidth="1"/>
    <col min="3" max="4" width="8.85546875" style="21" customWidth="1"/>
    <col min="5" max="5" width="12.28515625" style="154" customWidth="1"/>
    <col min="6" max="6" width="11.140625" style="154" customWidth="1"/>
    <col min="7" max="7" width="9.42578125" style="154" customWidth="1"/>
    <col min="8" max="15" width="10.85546875" style="154" customWidth="1"/>
    <col min="16" max="16" width="12.28515625" style="165" customWidth="1"/>
    <col min="17" max="23" width="10.85546875" style="154" customWidth="1"/>
    <col min="24" max="24" width="12.5703125" style="154" customWidth="1"/>
    <col min="25" max="25" width="9.42578125" style="154" customWidth="1"/>
    <col min="26" max="26" width="11" style="154" customWidth="1"/>
    <col min="27" max="27" width="11.7109375" style="154" customWidth="1"/>
    <col min="28" max="30" width="10.42578125" style="154" customWidth="1"/>
    <col min="31" max="31" width="10.7109375" style="154" customWidth="1"/>
    <col min="32" max="32" width="12.42578125" style="154" customWidth="1"/>
    <col min="33" max="33" width="10.42578125" style="166" customWidth="1"/>
    <col min="34" max="34" width="11.5703125" style="154" customWidth="1"/>
    <col min="35" max="35" width="11.140625" style="154" customWidth="1"/>
    <col min="36" max="38" width="12.140625" style="154" customWidth="1"/>
    <col min="39" max="39" width="12.28515625" style="154" customWidth="1"/>
    <col min="40" max="40" width="11" style="154" customWidth="1"/>
    <col min="41" max="42" width="12.28515625" style="154" customWidth="1"/>
    <col min="43" max="43" width="10.28515625" style="154" customWidth="1"/>
    <col min="44" max="44" width="10.7109375" style="154" customWidth="1"/>
    <col min="45" max="45" width="10.5703125" style="154" customWidth="1"/>
    <col min="46" max="46" width="13" style="154" customWidth="1"/>
    <col min="47" max="47" width="11.140625" style="154" customWidth="1"/>
    <col min="48" max="48" width="12.28515625" style="154" customWidth="1"/>
    <col min="49" max="50" width="11.140625" style="154" customWidth="1"/>
    <col min="51" max="54" width="12.28515625" style="155" customWidth="1"/>
    <col min="55" max="55" width="14.140625" style="154" customWidth="1"/>
    <col min="56" max="56" width="8.7109375" style="154"/>
    <col min="57" max="79" width="8.7109375" style="21"/>
    <col min="80" max="80" width="14.5703125" style="21" customWidth="1"/>
    <col min="81" max="16384" width="8.7109375" style="21"/>
  </cols>
  <sheetData>
    <row r="1" spans="1:91">
      <c r="B1" s="337" t="s">
        <v>388</v>
      </c>
      <c r="C1" s="337"/>
      <c r="D1" s="337"/>
      <c r="E1" s="338"/>
      <c r="F1" s="338"/>
      <c r="G1" s="21"/>
      <c r="H1" s="21"/>
      <c r="I1" s="21"/>
      <c r="J1" s="21"/>
      <c r="K1" s="21"/>
      <c r="L1" s="21"/>
      <c r="M1" s="21"/>
      <c r="N1" s="21"/>
      <c r="O1" s="21"/>
      <c r="P1" s="152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153"/>
      <c r="AH1" s="21"/>
    </row>
    <row r="2" spans="1:91" s="37" customFormat="1" ht="69" customHeight="1">
      <c r="A2" s="23" t="s">
        <v>1</v>
      </c>
      <c r="B2" s="23" t="s">
        <v>2</v>
      </c>
      <c r="C2" s="24" t="s">
        <v>3</v>
      </c>
      <c r="D2" s="23" t="s">
        <v>4</v>
      </c>
      <c r="E2" s="25" t="s">
        <v>5</v>
      </c>
      <c r="F2" s="25" t="s">
        <v>37</v>
      </c>
      <c r="G2" s="25" t="s">
        <v>389</v>
      </c>
      <c r="H2" s="25" t="s">
        <v>390</v>
      </c>
      <c r="I2" s="25" t="s">
        <v>52</v>
      </c>
      <c r="J2" s="25" t="s">
        <v>219</v>
      </c>
      <c r="K2" s="25" t="s">
        <v>89</v>
      </c>
      <c r="L2" s="25" t="s">
        <v>391</v>
      </c>
      <c r="M2" s="25" t="s">
        <v>53</v>
      </c>
      <c r="N2" s="25" t="s">
        <v>317</v>
      </c>
      <c r="O2" s="25" t="s">
        <v>68</v>
      </c>
      <c r="P2" s="167" t="s">
        <v>58</v>
      </c>
      <c r="Q2" s="25" t="s">
        <v>14</v>
      </c>
      <c r="R2" s="25" t="s">
        <v>392</v>
      </c>
      <c r="S2" s="25" t="s">
        <v>393</v>
      </c>
      <c r="T2" s="25" t="s">
        <v>226</v>
      </c>
      <c r="U2" s="25" t="s">
        <v>394</v>
      </c>
      <c r="V2" s="25" t="s">
        <v>51</v>
      </c>
      <c r="W2" s="25" t="s">
        <v>133</v>
      </c>
      <c r="X2" s="25" t="s">
        <v>48</v>
      </c>
      <c r="Y2" s="25" t="s">
        <v>60</v>
      </c>
      <c r="Z2" s="25" t="s">
        <v>225</v>
      </c>
      <c r="AA2" s="25" t="s">
        <v>10</v>
      </c>
      <c r="AB2" s="25" t="s">
        <v>9</v>
      </c>
      <c r="AC2" s="25" t="s">
        <v>395</v>
      </c>
      <c r="AD2" s="25" t="s">
        <v>396</v>
      </c>
      <c r="AE2" s="25" t="s">
        <v>12</v>
      </c>
      <c r="AF2" s="25" t="s">
        <v>46</v>
      </c>
      <c r="AG2" s="168" t="s">
        <v>397</v>
      </c>
      <c r="AH2" s="25" t="s">
        <v>398</v>
      </c>
      <c r="AI2" s="25" t="s">
        <v>399</v>
      </c>
      <c r="AJ2" s="25" t="s">
        <v>400</v>
      </c>
      <c r="AK2" s="25" t="s">
        <v>146</v>
      </c>
      <c r="AL2" s="25" t="s">
        <v>41</v>
      </c>
      <c r="AM2" s="25" t="s">
        <v>143</v>
      </c>
      <c r="AN2" s="25" t="s">
        <v>144</v>
      </c>
      <c r="AO2" s="25" t="s">
        <v>69</v>
      </c>
      <c r="AP2" s="25" t="s">
        <v>63</v>
      </c>
      <c r="AQ2" s="25" t="s">
        <v>136</v>
      </c>
      <c r="AR2" s="25" t="s">
        <v>401</v>
      </c>
      <c r="AS2" s="25" t="s">
        <v>402</v>
      </c>
      <c r="AT2" s="25" t="s">
        <v>40</v>
      </c>
      <c r="AU2" s="25" t="s">
        <v>59</v>
      </c>
      <c r="AV2" s="25" t="s">
        <v>315</v>
      </c>
      <c r="AW2" s="25" t="s">
        <v>403</v>
      </c>
      <c r="AX2" s="25" t="s">
        <v>319</v>
      </c>
      <c r="AY2" s="169" t="s">
        <v>313</v>
      </c>
      <c r="AZ2" s="169" t="s">
        <v>17</v>
      </c>
      <c r="BA2" s="169" t="s">
        <v>277</v>
      </c>
      <c r="BB2" s="169" t="s">
        <v>404</v>
      </c>
      <c r="BC2" s="25" t="s">
        <v>5</v>
      </c>
      <c r="BD2" s="170"/>
    </row>
    <row r="3" spans="1:91" s="40" customFormat="1" ht="29.45" customHeight="1">
      <c r="A3" s="53">
        <v>46205</v>
      </c>
      <c r="B3" s="54" t="s">
        <v>25</v>
      </c>
      <c r="C3" s="54">
        <v>7913</v>
      </c>
      <c r="D3" s="54">
        <v>10810</v>
      </c>
      <c r="E3" s="55">
        <v>4800000</v>
      </c>
      <c r="F3" s="55"/>
      <c r="G3" s="55"/>
      <c r="H3" s="55"/>
      <c r="I3" s="55"/>
      <c r="J3" s="55"/>
      <c r="K3" s="55"/>
      <c r="L3" s="55"/>
      <c r="M3" s="55"/>
      <c r="N3" s="55">
        <v>4800000</v>
      </c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171"/>
      <c r="AZ3" s="171"/>
      <c r="BA3" s="171"/>
      <c r="BB3" s="171"/>
      <c r="BC3" s="55">
        <f>G3+H3+I3+J3+K3+L3+M3+N3+P3+Q3+R3+S3+T3+U3+V3+W3+X3+Y3+Z3+AA3+AB3+AC3+AD3+AE3+AF3+AG3+AH3+AI3+AJ3+AK3+AL3+AM3+AN3+AO3+AP3+AQ3+AR3+AS3+AT3+AU3+AV3+AW3+AX3+AY3+AZ3+BA3+BB3</f>
        <v>4800000</v>
      </c>
      <c r="BD3" s="55"/>
      <c r="BE3" s="55"/>
      <c r="BF3" s="55"/>
      <c r="BG3" s="55"/>
      <c r="BH3" s="55"/>
      <c r="BI3" s="55"/>
      <c r="BJ3" s="55"/>
      <c r="BK3" s="55"/>
      <c r="BL3" s="55"/>
      <c r="BM3" s="55"/>
      <c r="BN3" s="55"/>
      <c r="BO3" s="55"/>
      <c r="BP3" s="172"/>
      <c r="BQ3" s="55"/>
      <c r="BR3" s="55"/>
      <c r="BS3" s="55"/>
      <c r="BT3" s="55"/>
      <c r="BU3" s="55"/>
      <c r="BV3" s="55"/>
      <c r="BW3" s="55"/>
      <c r="BX3" s="55"/>
      <c r="BY3" s="55"/>
      <c r="BZ3" s="55"/>
      <c r="CA3" s="55"/>
      <c r="CB3" s="173">
        <f>G3+H3+I3+J3+K3+L3+M3+N3+O3+P3+Q3+R3+S3+T3+U3+V3+W3+X3+Y3+Z3+AA3+AB3+AC3+AD3+AE3+AF3+AG3+AH3+AI3+AJ3+AK3+AL3+AM3+AN3+AO3+AQ3+AR3+AS3+AT3+AU3+AV3+AW3+AY3+BC3+BD3+BE3+BF3+BG3+BH3+BI3+BJ3+BK3+BL3+BM3+BN3+BO3+BP3+BQ3+BR3+BS3+BT3+BU3+BV3+BW3+BX3+BY3+BZ3+CA3</f>
        <v>9600000</v>
      </c>
      <c r="CC3" s="55"/>
      <c r="CD3" s="56"/>
      <c r="CE3" s="56"/>
      <c r="CF3" s="56"/>
      <c r="CG3" s="56"/>
      <c r="CH3" s="56"/>
      <c r="CI3" s="56"/>
      <c r="CJ3" s="56"/>
      <c r="CK3" s="56"/>
      <c r="CL3" s="56"/>
      <c r="CM3" s="56"/>
    </row>
    <row r="4" spans="1:91" s="40" customFormat="1" ht="29.45" customHeight="1">
      <c r="A4" s="53">
        <v>46205</v>
      </c>
      <c r="B4" s="54" t="s">
        <v>25</v>
      </c>
      <c r="C4" s="54">
        <v>7912</v>
      </c>
      <c r="D4" s="54">
        <v>10815</v>
      </c>
      <c r="E4" s="55">
        <v>8000000</v>
      </c>
      <c r="F4" s="55"/>
      <c r="G4" s="55"/>
      <c r="H4" s="55"/>
      <c r="I4" s="55"/>
      <c r="J4" s="55"/>
      <c r="K4" s="55"/>
      <c r="L4" s="55"/>
      <c r="M4" s="55"/>
      <c r="N4" s="55">
        <v>8000000</v>
      </c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171"/>
      <c r="AZ4" s="171"/>
      <c r="BA4" s="171"/>
      <c r="BB4" s="171"/>
      <c r="BC4" s="55">
        <f t="shared" ref="BC4:BC67" si="0">G4+H4+I4+J4+K4+L4+M4+N4+P4+Q4+R4+S4+T4+U4+V4+W4+X4+Y4+Z4+AA4+AB4+AC4+AD4+AE4+AF4+AG4+AH4+AI4+AJ4+AK4+AL4+AM4+AN4+AO4+AP4+AQ4+AR4+AS4+AT4+AU4+AV4+AW4+AX4+AY4+AZ4+BA4+BB4</f>
        <v>8000000</v>
      </c>
      <c r="BD4" s="55"/>
      <c r="BE4" s="55"/>
      <c r="BF4" s="55"/>
      <c r="BG4" s="55"/>
      <c r="BH4" s="55"/>
      <c r="BI4" s="55"/>
      <c r="BJ4" s="55"/>
      <c r="BK4" s="55"/>
      <c r="BL4" s="55"/>
      <c r="BM4" s="55"/>
      <c r="BN4" s="55"/>
      <c r="BO4" s="55"/>
      <c r="BP4" s="172"/>
      <c r="BQ4" s="55"/>
      <c r="BR4" s="55"/>
      <c r="BS4" s="55"/>
      <c r="BT4" s="55"/>
      <c r="BU4" s="55"/>
      <c r="BV4" s="55"/>
      <c r="BW4" s="55"/>
      <c r="BX4" s="55"/>
      <c r="BY4" s="55"/>
      <c r="BZ4" s="55"/>
      <c r="CA4" s="55"/>
      <c r="CB4" s="173">
        <f>G4+H4+I4+J4+K4+L4+M4+N4+O4+P4+Q4+R4+S4+T4+U4+V4+W4+X4+Y4+Z4+AA4+AB4+AC4+AD4+AE4+AF4+AG4+AH4+AI4+AJ4+AK4+AL4+AM4+AN4+AO4+AQ4+AR4+AS4+AT4+AU4+AV4+AW4+AY4+BC4+BD4+BE4+BF4+BG4+BH4+BI4+BJ4+BK4+BL4+BM4+BN4+BO4+BP4+BQ4+BR4+BS4+BT4+BU4+BV4+BW4+BX4+BY4+BZ4+CA4</f>
        <v>16000000</v>
      </c>
      <c r="CC4" s="55"/>
      <c r="CD4" s="56"/>
      <c r="CE4" s="56"/>
      <c r="CF4" s="56"/>
      <c r="CG4" s="56"/>
      <c r="CH4" s="56"/>
      <c r="CI4" s="56"/>
      <c r="CJ4" s="56"/>
      <c r="CK4" s="56"/>
      <c r="CL4" s="56"/>
      <c r="CM4" s="56"/>
    </row>
    <row r="5" spans="1:91" s="40" customFormat="1" ht="29.45" customHeight="1">
      <c r="A5" s="53">
        <v>46205</v>
      </c>
      <c r="B5" s="54" t="s">
        <v>25</v>
      </c>
      <c r="C5" s="54">
        <v>7914</v>
      </c>
      <c r="D5" s="54">
        <v>10808</v>
      </c>
      <c r="E5" s="55">
        <v>8000000</v>
      </c>
      <c r="F5" s="55"/>
      <c r="G5" s="55"/>
      <c r="H5" s="55"/>
      <c r="I5" s="55"/>
      <c r="J5" s="55"/>
      <c r="K5" s="55"/>
      <c r="L5" s="55"/>
      <c r="M5" s="55"/>
      <c r="N5" s="55">
        <v>8000000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171"/>
      <c r="AZ5" s="171"/>
      <c r="BA5" s="171"/>
      <c r="BB5" s="171"/>
      <c r="BC5" s="55">
        <f t="shared" si="0"/>
        <v>8000000</v>
      </c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172"/>
      <c r="BQ5" s="55"/>
      <c r="BR5" s="55"/>
      <c r="BS5" s="55"/>
      <c r="BT5" s="55"/>
      <c r="BU5" s="55"/>
      <c r="BV5" s="55"/>
      <c r="BW5" s="55"/>
      <c r="BX5" s="55"/>
      <c r="BY5" s="55"/>
      <c r="BZ5" s="55"/>
      <c r="CA5" s="55"/>
      <c r="CB5" s="173">
        <f>G5+H5+I5+J5+K5+L5+M5+N5+O5+P5+Q5+R5+S5+T5+U5+V5+W5+X5+Y5+Z5+AA5+AB5+AC5+AD5+AE5+AF5+AG5+AH5+AI5+AJ5+AK5+AL5+AM5+AN5+AO5+AQ5+AR5+AS5+AT5+AU5+AV5+AW5+AY5+BC5+BD5+BE5+BF5+BG5+BH5+BI5+BJ5+BK5+BL5+BM5+BN5+BO5+BP5+BQ5+BR5+BS5+BT5+BU5+BV5+BW5+BX5+BY5+BZ5+CA5</f>
        <v>16000000</v>
      </c>
      <c r="CC5" s="55"/>
      <c r="CD5" s="56"/>
      <c r="CE5" s="56"/>
      <c r="CF5" s="56"/>
      <c r="CG5" s="56"/>
      <c r="CH5" s="56"/>
      <c r="CI5" s="56"/>
      <c r="CJ5" s="56"/>
      <c r="CK5" s="56"/>
      <c r="CL5" s="56"/>
      <c r="CM5" s="56"/>
    </row>
    <row r="6" spans="1:91" s="40" customFormat="1" ht="29.45" customHeight="1">
      <c r="A6" s="53">
        <v>46205</v>
      </c>
      <c r="B6" s="50" t="s">
        <v>405</v>
      </c>
      <c r="C6" s="54">
        <v>7855</v>
      </c>
      <c r="D6" s="54">
        <v>10759</v>
      </c>
      <c r="E6" s="55">
        <v>2000000</v>
      </c>
      <c r="F6" s="55"/>
      <c r="G6" s="55"/>
      <c r="H6" s="55"/>
      <c r="I6" s="55"/>
      <c r="J6" s="55"/>
      <c r="K6" s="55"/>
      <c r="L6" s="55"/>
      <c r="M6" s="55"/>
      <c r="N6" s="55"/>
      <c r="O6" s="55"/>
      <c r="P6" s="55">
        <v>2000000</v>
      </c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>
        <v>2000000</v>
      </c>
      <c r="AZ6" s="55"/>
      <c r="BA6" s="55"/>
      <c r="BB6" s="55"/>
      <c r="BC6" s="55">
        <f t="shared" si="0"/>
        <v>4000000</v>
      </c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172"/>
      <c r="BQ6" s="55"/>
      <c r="BR6" s="55"/>
      <c r="BS6" s="55"/>
      <c r="BT6" s="55"/>
      <c r="BU6" s="55"/>
      <c r="BV6" s="55"/>
      <c r="BW6" s="55"/>
      <c r="BX6" s="55"/>
      <c r="BY6" s="55"/>
      <c r="BZ6" s="55"/>
      <c r="CA6" s="55"/>
      <c r="CB6" s="173">
        <f>G6+H6+I6+J6+K6+L6+M6+N6+O6+P6+Q6+R6+S6+T6+U6+V6+W6+X6+Y6+Z6+AA6+AB6+AC6+AD6+AE6+AF6+AG6+AH6+AI6+AJ6+AK6+AL6+AM6+AN6+AO6+AQ6+AR6+AS6+AT6+AU6+AV6+AW6+AY6+BC6+BD6+BE6+BF6+BG6+BH6+BI6+BJ6+BK6+BL6+BM6+BN6+BO6+BP6+BQ6+BR6+BS6+BT6+BU6+BV6+BW6+BX6+BY6+BZ6+CA6</f>
        <v>8000000</v>
      </c>
      <c r="CC6" s="55"/>
      <c r="CD6" s="56"/>
      <c r="CE6" s="56"/>
      <c r="CF6" s="56"/>
      <c r="CG6" s="56"/>
      <c r="CH6" s="56"/>
      <c r="CI6" s="56"/>
      <c r="CJ6" s="56"/>
      <c r="CK6" s="56"/>
      <c r="CL6" s="56"/>
      <c r="CM6" s="56"/>
    </row>
    <row r="7" spans="1:91" s="40" customFormat="1" ht="29.45" customHeight="1">
      <c r="A7" s="53">
        <v>46205</v>
      </c>
      <c r="B7" s="54" t="s">
        <v>406</v>
      </c>
      <c r="C7" s="54">
        <v>7911</v>
      </c>
      <c r="D7" s="54">
        <v>10814</v>
      </c>
      <c r="E7" s="55">
        <v>1175000</v>
      </c>
      <c r="F7" s="55">
        <v>75000</v>
      </c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173">
        <v>1250000</v>
      </c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>
        <f t="shared" si="0"/>
        <v>1250000</v>
      </c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172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>
        <v>1250000</v>
      </c>
      <c r="CC7" s="55"/>
      <c r="CD7" s="56"/>
      <c r="CE7" s="56"/>
      <c r="CF7" s="56"/>
      <c r="CG7" s="56"/>
      <c r="CH7" s="56"/>
      <c r="CI7" s="56"/>
      <c r="CJ7" s="56"/>
      <c r="CK7" s="56"/>
      <c r="CL7" s="56"/>
      <c r="CM7" s="56"/>
    </row>
    <row r="8" spans="1:91" s="40" customFormat="1" ht="29.45" customHeight="1">
      <c r="A8" s="53">
        <v>46202</v>
      </c>
      <c r="B8" s="54" t="s">
        <v>208</v>
      </c>
      <c r="C8" s="54">
        <v>7906</v>
      </c>
      <c r="D8" s="54">
        <v>10828</v>
      </c>
      <c r="E8" s="55">
        <v>5000000</v>
      </c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>
        <v>5000000</v>
      </c>
      <c r="AY8" s="55"/>
      <c r="AZ8" s="55"/>
      <c r="BA8" s="55"/>
      <c r="BB8" s="55"/>
      <c r="BC8" s="55">
        <f t="shared" si="0"/>
        <v>5000000</v>
      </c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172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  <c r="CB8" s="173">
        <f>G8+H8+I8+J8+K8+L8+M8+N8+O8+P8+Q8+R8+S8+T8+U8+V8+W8+X8+Y8+Z8+AA8+AB8+AC8+AD8+AE8+AF8+AG8+AH8+AI8+AJ8+AK8+AL8+AM8+AN8+AO8+AQ8+AR8+AS8+AT8+AU8+AV8+AW8+AY8+BC8+BD8+BE8+BF8+BG8+BH8+BI8+BJ8+BK8+BL8+BM8+BN8+BO8+BP8+BQ8+BR8+BS8+BT8+BU8+BV8+BW8+BX8+BY8+BZ8+CA8</f>
        <v>5000000</v>
      </c>
      <c r="CC8" s="55"/>
      <c r="CD8" s="56"/>
      <c r="CE8" s="56"/>
      <c r="CF8" s="56"/>
      <c r="CG8" s="56"/>
      <c r="CH8" s="56"/>
      <c r="CI8" s="56"/>
      <c r="CJ8" s="56"/>
      <c r="CK8" s="56"/>
      <c r="CL8" s="56"/>
      <c r="CM8" s="56"/>
    </row>
    <row r="9" spans="1:91" s="40" customFormat="1" ht="29.45" customHeight="1">
      <c r="A9" s="53">
        <v>46199</v>
      </c>
      <c r="B9" s="54" t="s">
        <v>264</v>
      </c>
      <c r="C9" s="54">
        <v>7865</v>
      </c>
      <c r="D9" s="54">
        <v>10770</v>
      </c>
      <c r="E9" s="55">
        <v>205000</v>
      </c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>
        <v>205000</v>
      </c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>
        <f t="shared" si="0"/>
        <v>205000</v>
      </c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172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173">
        <f>G9+H9+I9+J9+K9+L9+M9+N9+O9+P9+Q9+R9+S9+T9+U9+V9+W9+X9+Y9+Z9+AA9+AB9+AC9+AD9+AE9+AF9+AG9+AH9+AI9+AJ9+AK9+AL9+AM9+AN9+AO9+AQ9+AR9+AS9+AT9+AU9+AV9+AW9+AX9+AY9+BC9+BD9+BE9+BF9+BG9+BH9+BI9+BJ9+BK9+BL9+BM9+BN9+BO9+BP9+BQ9+BR9+BS9+BT9+BU9+BV9+BW9+BX9+BY9+BZ9</f>
        <v>410000</v>
      </c>
      <c r="CB9" s="55"/>
      <c r="CC9" s="56"/>
      <c r="CD9" s="56"/>
      <c r="CE9" s="56"/>
      <c r="CF9" s="56"/>
      <c r="CG9" s="56"/>
      <c r="CH9" s="56"/>
      <c r="CI9" s="56"/>
      <c r="CJ9" s="56"/>
      <c r="CK9" s="56"/>
      <c r="CL9" s="56"/>
    </row>
    <row r="10" spans="1:91" s="161" customFormat="1" ht="21.95" customHeight="1">
      <c r="A10" s="174">
        <v>46213</v>
      </c>
      <c r="B10" s="175" t="s">
        <v>407</v>
      </c>
      <c r="C10" s="176">
        <v>7915</v>
      </c>
      <c r="D10" s="176">
        <v>10821</v>
      </c>
      <c r="E10" s="177">
        <v>5217000</v>
      </c>
      <c r="F10" s="177">
        <v>333000</v>
      </c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7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>
        <v>5217000</v>
      </c>
      <c r="AJ10" s="177"/>
      <c r="AK10" s="177"/>
      <c r="AL10" s="177"/>
      <c r="AM10" s="177"/>
      <c r="AN10" s="177"/>
      <c r="AO10" s="177"/>
      <c r="AP10" s="177"/>
      <c r="AQ10" s="177"/>
      <c r="AR10" s="177"/>
      <c r="AS10" s="177"/>
      <c r="AT10" s="177"/>
      <c r="AU10" s="177"/>
      <c r="AV10" s="177"/>
      <c r="AW10" s="177"/>
      <c r="AX10" s="177"/>
      <c r="AY10" s="177"/>
      <c r="AZ10" s="177"/>
      <c r="BA10" s="177"/>
      <c r="BB10" s="177"/>
      <c r="BC10" s="178">
        <f t="shared" si="0"/>
        <v>5217000</v>
      </c>
      <c r="BD10" s="179"/>
    </row>
    <row r="11" spans="1:91" s="161" customFormat="1" ht="21.95" customHeight="1">
      <c r="A11" s="174">
        <v>46213</v>
      </c>
      <c r="B11" s="175" t="s">
        <v>407</v>
      </c>
      <c r="C11" s="176">
        <v>7918</v>
      </c>
      <c r="D11" s="176">
        <v>10825</v>
      </c>
      <c r="E11" s="177">
        <v>2246600</v>
      </c>
      <c r="F11" s="177">
        <v>143400</v>
      </c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  <c r="AH11" s="177"/>
      <c r="AI11" s="177">
        <v>2246600</v>
      </c>
      <c r="AJ11" s="177"/>
      <c r="AK11" s="177"/>
      <c r="AL11" s="177"/>
      <c r="AM11" s="177"/>
      <c r="AN11" s="177"/>
      <c r="AO11" s="177"/>
      <c r="AP11" s="177"/>
      <c r="AQ11" s="177"/>
      <c r="AR11" s="177"/>
      <c r="AS11" s="177"/>
      <c r="AT11" s="177"/>
      <c r="AU11" s="177"/>
      <c r="AV11" s="177"/>
      <c r="AW11" s="177"/>
      <c r="AX11" s="177"/>
      <c r="AY11" s="177"/>
      <c r="AZ11" s="177"/>
      <c r="BA11" s="177"/>
      <c r="BB11" s="177"/>
      <c r="BC11" s="178">
        <f t="shared" si="0"/>
        <v>2246600</v>
      </c>
      <c r="BD11" s="179"/>
    </row>
    <row r="12" spans="1:91" s="161" customFormat="1" ht="21.95" customHeight="1">
      <c r="A12" s="174">
        <v>46212</v>
      </c>
      <c r="B12" s="175" t="s">
        <v>408</v>
      </c>
      <c r="C12" s="176">
        <v>7917</v>
      </c>
      <c r="D12" s="176">
        <v>10822</v>
      </c>
      <c r="E12" s="177">
        <v>990000</v>
      </c>
      <c r="F12" s="177"/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>
        <v>990000</v>
      </c>
      <c r="AJ12" s="177"/>
      <c r="AK12" s="177"/>
      <c r="AL12" s="177"/>
      <c r="AM12" s="177"/>
      <c r="AN12" s="177"/>
      <c r="AO12" s="177"/>
      <c r="AP12" s="177"/>
      <c r="AQ12" s="177"/>
      <c r="AR12" s="177"/>
      <c r="AS12" s="177"/>
      <c r="AT12" s="177"/>
      <c r="AU12" s="177"/>
      <c r="AV12" s="177"/>
      <c r="AW12" s="177"/>
      <c r="AX12" s="177"/>
      <c r="AY12" s="177"/>
      <c r="AZ12" s="177"/>
      <c r="BA12" s="177"/>
      <c r="BB12" s="177"/>
      <c r="BC12" s="178">
        <f t="shared" si="0"/>
        <v>990000</v>
      </c>
      <c r="BD12" s="179"/>
    </row>
    <row r="13" spans="1:91" s="41" customFormat="1" ht="21.95" customHeight="1">
      <c r="A13" s="59">
        <v>46206</v>
      </c>
      <c r="B13" s="45" t="s">
        <v>195</v>
      </c>
      <c r="C13" s="57">
        <v>7811</v>
      </c>
      <c r="D13" s="57">
        <v>10670</v>
      </c>
      <c r="E13" s="58">
        <v>5544000</v>
      </c>
      <c r="F13" s="58">
        <v>297000</v>
      </c>
      <c r="G13" s="58">
        <v>891000</v>
      </c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>
        <v>5544000</v>
      </c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5">
        <f t="shared" si="0"/>
        <v>6435000</v>
      </c>
      <c r="BD13" s="180"/>
    </row>
    <row r="14" spans="1:91" s="41" customFormat="1" ht="21.95" customHeight="1">
      <c r="A14" s="59">
        <v>46204</v>
      </c>
      <c r="B14" s="45" t="s">
        <v>190</v>
      </c>
      <c r="C14" s="57">
        <v>7899</v>
      </c>
      <c r="D14" s="57">
        <v>10673</v>
      </c>
      <c r="E14" s="58">
        <v>70316230</v>
      </c>
      <c r="F14" s="58">
        <v>4488270</v>
      </c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>
        <v>0</v>
      </c>
      <c r="AK14" s="58"/>
      <c r="AL14" s="58"/>
      <c r="AM14" s="58">
        <f>22000000+27500000+9625000+79500</f>
        <v>59204500</v>
      </c>
      <c r="AN14" s="58"/>
      <c r="AO14" s="58">
        <f>15600000</f>
        <v>15600000</v>
      </c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5">
        <f t="shared" si="0"/>
        <v>74804500</v>
      </c>
      <c r="BD14" s="180"/>
    </row>
    <row r="15" spans="1:91" s="41" customFormat="1" ht="21.95" customHeight="1">
      <c r="A15" s="59">
        <v>46212</v>
      </c>
      <c r="B15" s="45" t="s">
        <v>183</v>
      </c>
      <c r="C15" s="57">
        <v>7938</v>
      </c>
      <c r="D15" s="57">
        <v>10842</v>
      </c>
      <c r="E15" s="58">
        <v>545000</v>
      </c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>
        <v>545000</v>
      </c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5">
        <f t="shared" si="0"/>
        <v>545000</v>
      </c>
      <c r="BD15" s="180"/>
    </row>
    <row r="16" spans="1:91" s="41" customFormat="1" ht="21.95" customHeight="1">
      <c r="A16" s="59">
        <v>46212</v>
      </c>
      <c r="B16" s="45" t="s">
        <v>409</v>
      </c>
      <c r="C16" s="57">
        <v>7921</v>
      </c>
      <c r="D16" s="57">
        <v>10831</v>
      </c>
      <c r="E16" s="58">
        <v>4258200</v>
      </c>
      <c r="F16" s="58">
        <f>148800+123000</f>
        <v>271800</v>
      </c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>
        <v>4258200</v>
      </c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5">
        <f t="shared" si="0"/>
        <v>4258200</v>
      </c>
      <c r="BD16" s="180"/>
    </row>
    <row r="17" spans="1:56" s="41" customFormat="1" ht="21.95" customHeight="1">
      <c r="A17" s="59">
        <v>46211</v>
      </c>
      <c r="B17" s="45" t="s">
        <v>409</v>
      </c>
      <c r="C17" s="57">
        <v>7939</v>
      </c>
      <c r="D17" s="57">
        <v>10854</v>
      </c>
      <c r="E17" s="58">
        <v>340000</v>
      </c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>
        <v>340000</v>
      </c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5">
        <f t="shared" si="0"/>
        <v>340000</v>
      </c>
      <c r="BD17" s="180"/>
    </row>
    <row r="18" spans="1:56" s="41" customFormat="1" ht="21.95" customHeight="1">
      <c r="A18" s="59">
        <v>46213</v>
      </c>
      <c r="B18" s="45" t="s">
        <v>410</v>
      </c>
      <c r="C18" s="57">
        <v>7809</v>
      </c>
      <c r="D18" s="57">
        <v>10672</v>
      </c>
      <c r="E18" s="58">
        <v>926500</v>
      </c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>
        <v>926500</v>
      </c>
      <c r="AT18" s="58"/>
      <c r="AU18" s="58"/>
      <c r="AV18" s="58"/>
      <c r="AW18" s="58"/>
      <c r="AX18" s="58"/>
      <c r="AY18" s="58"/>
      <c r="AZ18" s="58"/>
      <c r="BA18" s="58"/>
      <c r="BB18" s="58"/>
      <c r="BC18" s="55">
        <f t="shared" si="0"/>
        <v>926500</v>
      </c>
      <c r="BD18" s="180"/>
    </row>
    <row r="19" spans="1:56" s="41" customFormat="1" ht="24.6" customHeight="1">
      <c r="A19" s="59">
        <v>46214</v>
      </c>
      <c r="B19" s="45" t="s">
        <v>410</v>
      </c>
      <c r="C19" s="57">
        <v>7941</v>
      </c>
      <c r="D19" s="57">
        <v>10851</v>
      </c>
      <c r="E19" s="58">
        <v>150000</v>
      </c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>
        <v>150000</v>
      </c>
      <c r="AT19" s="58"/>
      <c r="AU19" s="58"/>
      <c r="AV19" s="58"/>
      <c r="AW19" s="58"/>
      <c r="AX19" s="58"/>
      <c r="AY19" s="58"/>
      <c r="AZ19" s="58"/>
      <c r="BA19" s="58"/>
      <c r="BB19" s="58"/>
      <c r="BC19" s="55">
        <f t="shared" si="0"/>
        <v>150000</v>
      </c>
      <c r="BD19" s="180"/>
    </row>
    <row r="20" spans="1:56" s="41" customFormat="1" ht="24.6" customHeight="1">
      <c r="A20" s="59">
        <v>46223</v>
      </c>
      <c r="B20" s="45" t="s">
        <v>411</v>
      </c>
      <c r="C20" s="57" t="s">
        <v>412</v>
      </c>
      <c r="D20" s="57">
        <v>10938</v>
      </c>
      <c r="E20" s="58">
        <v>17512200</v>
      </c>
      <c r="F20" s="58">
        <v>864000</v>
      </c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>
        <f>5200000+3800000+5400000</f>
        <v>14400000</v>
      </c>
      <c r="AU20" s="58">
        <f>4230000</f>
        <v>4230000</v>
      </c>
      <c r="AV20" s="58"/>
      <c r="AW20" s="58"/>
      <c r="AX20" s="58"/>
      <c r="AY20" s="58"/>
      <c r="AZ20" s="58"/>
      <c r="BA20" s="58"/>
      <c r="BB20" s="58"/>
      <c r="BC20" s="55">
        <f t="shared" si="0"/>
        <v>18630000</v>
      </c>
      <c r="BD20" s="180"/>
    </row>
    <row r="21" spans="1:56" s="41" customFormat="1" ht="24.6" customHeight="1">
      <c r="A21" s="59">
        <v>46216</v>
      </c>
      <c r="B21" s="45" t="s">
        <v>413</v>
      </c>
      <c r="C21" s="57">
        <v>7798</v>
      </c>
      <c r="D21" s="57">
        <v>10653</v>
      </c>
      <c r="E21" s="58">
        <v>20000000</v>
      </c>
      <c r="F21" s="58">
        <v>1620000</v>
      </c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>
        <v>20000000</v>
      </c>
      <c r="AW21" s="58"/>
      <c r="AX21" s="58"/>
      <c r="AY21" s="58"/>
      <c r="AZ21" s="58"/>
      <c r="BA21" s="58"/>
      <c r="BB21" s="58"/>
      <c r="BC21" s="55">
        <f t="shared" si="0"/>
        <v>20000000</v>
      </c>
      <c r="BD21" s="180"/>
    </row>
    <row r="22" spans="1:56" s="41" customFormat="1" ht="24.6" customHeight="1">
      <c r="A22" s="59">
        <v>46213</v>
      </c>
      <c r="B22" s="45" t="s">
        <v>414</v>
      </c>
      <c r="C22" s="57">
        <v>7942</v>
      </c>
      <c r="D22" s="57">
        <v>10852</v>
      </c>
      <c r="E22" s="58">
        <v>7402500</v>
      </c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>
        <v>7402500</v>
      </c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5">
        <f t="shared" si="0"/>
        <v>7402500</v>
      </c>
      <c r="BD22" s="180"/>
    </row>
    <row r="23" spans="1:56" s="41" customFormat="1" ht="24.95" customHeight="1">
      <c r="A23" s="59">
        <v>46225</v>
      </c>
      <c r="B23" s="45" t="s">
        <v>190</v>
      </c>
      <c r="C23" s="57">
        <v>7959</v>
      </c>
      <c r="D23" s="57">
        <v>10943</v>
      </c>
      <c r="E23" s="58">
        <v>18800000</v>
      </c>
      <c r="F23" s="58">
        <v>1200000</v>
      </c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>
        <v>20000000</v>
      </c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5">
        <f t="shared" si="0"/>
        <v>20000000</v>
      </c>
      <c r="BD23" s="180"/>
    </row>
    <row r="24" spans="1:56" s="41" customFormat="1" ht="29.1" customHeight="1">
      <c r="A24" s="59">
        <v>46225</v>
      </c>
      <c r="B24" s="45" t="s">
        <v>366</v>
      </c>
      <c r="C24" s="57">
        <v>7953</v>
      </c>
      <c r="D24" s="57">
        <v>10937</v>
      </c>
      <c r="E24" s="58">
        <v>4973126</v>
      </c>
      <c r="F24" s="58">
        <v>317433</v>
      </c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>
        <v>5290559</v>
      </c>
      <c r="AX24" s="58"/>
      <c r="AY24" s="58"/>
      <c r="AZ24" s="58"/>
      <c r="BA24" s="58"/>
      <c r="BB24" s="58"/>
      <c r="BC24" s="55">
        <f t="shared" si="0"/>
        <v>5290559</v>
      </c>
      <c r="BD24" s="180"/>
    </row>
    <row r="25" spans="1:56" s="41" customFormat="1" ht="24.6" customHeight="1">
      <c r="A25" s="59">
        <v>46226</v>
      </c>
      <c r="B25" s="45" t="s">
        <v>172</v>
      </c>
      <c r="C25" s="57">
        <v>7919</v>
      </c>
      <c r="D25" s="57">
        <v>10824</v>
      </c>
      <c r="E25" s="58">
        <v>40025200</v>
      </c>
      <c r="F25" s="58">
        <v>2554800</v>
      </c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>
        <f>7500000</f>
        <v>7500000</v>
      </c>
      <c r="AL25" s="58">
        <f>560000</f>
        <v>560000</v>
      </c>
      <c r="AM25" s="58"/>
      <c r="AN25" s="58">
        <f>9720000</f>
        <v>9720000</v>
      </c>
      <c r="AO25" s="58">
        <f>24800000</f>
        <v>24800000</v>
      </c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5">
        <f t="shared" si="0"/>
        <v>42580000</v>
      </c>
      <c r="BD25" s="180"/>
    </row>
    <row r="26" spans="1:56" s="41" customFormat="1" ht="24.6" customHeight="1">
      <c r="A26" s="59">
        <v>46197</v>
      </c>
      <c r="B26" s="45" t="s">
        <v>409</v>
      </c>
      <c r="C26" s="57">
        <v>7960</v>
      </c>
      <c r="D26" s="57">
        <v>10942</v>
      </c>
      <c r="E26" s="58">
        <v>1692000</v>
      </c>
      <c r="F26" s="58">
        <v>108000</v>
      </c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>
        <f>1800000</f>
        <v>1800000</v>
      </c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5">
        <f t="shared" si="0"/>
        <v>1800000</v>
      </c>
      <c r="BD26" s="180"/>
    </row>
    <row r="27" spans="1:56" s="161" customFormat="1" ht="24.6" customHeight="1">
      <c r="A27" s="174">
        <v>46206</v>
      </c>
      <c r="B27" s="175" t="s">
        <v>415</v>
      </c>
      <c r="C27" s="176">
        <v>7920</v>
      </c>
      <c r="D27" s="176">
        <v>10830</v>
      </c>
      <c r="E27" s="177">
        <v>2250000</v>
      </c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  <c r="AH27" s="177"/>
      <c r="AI27" s="177">
        <v>2250000</v>
      </c>
      <c r="AJ27" s="177"/>
      <c r="AK27" s="177"/>
      <c r="AL27" s="177"/>
      <c r="AM27" s="177"/>
      <c r="AN27" s="177"/>
      <c r="AO27" s="177"/>
      <c r="AP27" s="177"/>
      <c r="AQ27" s="177"/>
      <c r="AR27" s="177"/>
      <c r="AS27" s="177"/>
      <c r="AT27" s="177"/>
      <c r="AU27" s="177"/>
      <c r="AV27" s="177"/>
      <c r="AW27" s="177"/>
      <c r="AX27" s="177"/>
      <c r="AY27" s="177"/>
      <c r="AZ27" s="177"/>
      <c r="BA27" s="177"/>
      <c r="BB27" s="177"/>
      <c r="BC27" s="178">
        <f t="shared" si="0"/>
        <v>2250000</v>
      </c>
      <c r="BD27" s="179"/>
    </row>
    <row r="28" spans="1:56" s="41" customFormat="1" ht="24.6" customHeight="1">
      <c r="A28" s="59">
        <v>46210</v>
      </c>
      <c r="B28" s="45" t="s">
        <v>94</v>
      </c>
      <c r="C28" s="57">
        <v>7927</v>
      </c>
      <c r="D28" s="57">
        <v>10869</v>
      </c>
      <c r="E28" s="58">
        <v>750000</v>
      </c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>
        <v>750000</v>
      </c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5">
        <f t="shared" si="0"/>
        <v>750000</v>
      </c>
      <c r="BD28" s="180"/>
    </row>
    <row r="29" spans="1:56" s="41" customFormat="1" ht="24.6" customHeight="1">
      <c r="A29" s="59">
        <v>46210</v>
      </c>
      <c r="B29" s="45" t="s">
        <v>94</v>
      </c>
      <c r="C29" s="57">
        <v>7923</v>
      </c>
      <c r="D29" s="57">
        <v>10848</v>
      </c>
      <c r="E29" s="58">
        <v>1500000</v>
      </c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>
        <v>1500000</v>
      </c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5">
        <f t="shared" si="0"/>
        <v>1500000</v>
      </c>
      <c r="BD29" s="180"/>
    </row>
    <row r="30" spans="1:56" s="41" customFormat="1" ht="24.6" customHeight="1">
      <c r="A30" s="59">
        <v>46210</v>
      </c>
      <c r="B30" s="45" t="s">
        <v>94</v>
      </c>
      <c r="C30" s="57">
        <v>7926</v>
      </c>
      <c r="D30" s="57">
        <v>10868</v>
      </c>
      <c r="E30" s="58">
        <v>1190000</v>
      </c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>
        <v>1190000</v>
      </c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5">
        <f t="shared" si="0"/>
        <v>1190000</v>
      </c>
      <c r="BD30" s="180"/>
    </row>
    <row r="31" spans="1:56" s="162" customFormat="1" ht="24.6" customHeight="1">
      <c r="A31" s="181">
        <v>46210</v>
      </c>
      <c r="B31" s="182" t="s">
        <v>181</v>
      </c>
      <c r="C31" s="183">
        <v>7930</v>
      </c>
      <c r="D31" s="183">
        <v>10857</v>
      </c>
      <c r="E31" s="184">
        <v>12000000</v>
      </c>
      <c r="F31" s="184"/>
      <c r="G31" s="184"/>
      <c r="H31" s="184"/>
      <c r="I31" s="184"/>
      <c r="J31" s="184"/>
      <c r="K31" s="184"/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  <c r="AA31" s="184"/>
      <c r="AB31" s="184"/>
      <c r="AC31" s="184"/>
      <c r="AD31" s="185">
        <v>0</v>
      </c>
      <c r="AE31" s="184"/>
      <c r="AF31" s="184"/>
      <c r="AG31" s="184"/>
      <c r="AH31" s="184"/>
      <c r="AI31" s="184"/>
      <c r="AJ31" s="184"/>
      <c r="AK31" s="184"/>
      <c r="AL31" s="184"/>
      <c r="AM31" s="184"/>
      <c r="AN31" s="184"/>
      <c r="AO31" s="184"/>
      <c r="AP31" s="184"/>
      <c r="AQ31" s="184"/>
      <c r="AR31" s="184"/>
      <c r="AS31" s="184"/>
      <c r="AT31" s="184"/>
      <c r="AU31" s="184"/>
      <c r="AV31" s="184"/>
      <c r="AW31" s="184"/>
      <c r="AX31" s="184"/>
      <c r="AY31" s="184"/>
      <c r="AZ31" s="184"/>
      <c r="BA31" s="184"/>
      <c r="BB31" s="184">
        <v>12000000</v>
      </c>
      <c r="BC31" s="55">
        <f t="shared" si="0"/>
        <v>12000000</v>
      </c>
      <c r="BD31" s="186"/>
    </row>
    <row r="32" spans="1:56" s="162" customFormat="1" ht="24.6" customHeight="1">
      <c r="A32" s="181">
        <v>46210</v>
      </c>
      <c r="B32" s="182" t="s">
        <v>181</v>
      </c>
      <c r="C32" s="183">
        <v>7929</v>
      </c>
      <c r="D32" s="183">
        <v>10856</v>
      </c>
      <c r="E32" s="184">
        <v>2825000</v>
      </c>
      <c r="F32" s="184"/>
      <c r="G32" s="184"/>
      <c r="H32" s="184"/>
      <c r="I32" s="184"/>
      <c r="J32" s="184"/>
      <c r="K32" s="184"/>
      <c r="L32" s="184"/>
      <c r="M32" s="184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  <c r="Y32" s="184"/>
      <c r="Z32" s="184"/>
      <c r="AA32" s="184"/>
      <c r="AB32" s="184"/>
      <c r="AC32" s="184"/>
      <c r="AD32" s="184">
        <v>0</v>
      </c>
      <c r="AE32" s="184"/>
      <c r="AF32" s="184"/>
      <c r="AG32" s="184"/>
      <c r="AH32" s="184"/>
      <c r="AI32" s="184"/>
      <c r="AJ32" s="184"/>
      <c r="AK32" s="184"/>
      <c r="AL32" s="184"/>
      <c r="AM32" s="184"/>
      <c r="AN32" s="184"/>
      <c r="AO32" s="184"/>
      <c r="AP32" s="184"/>
      <c r="AQ32" s="184"/>
      <c r="AR32" s="184"/>
      <c r="AS32" s="184"/>
      <c r="AT32" s="184"/>
      <c r="AU32" s="184"/>
      <c r="AV32" s="184"/>
      <c r="AW32" s="184"/>
      <c r="AX32" s="184"/>
      <c r="AY32" s="184"/>
      <c r="AZ32" s="184"/>
      <c r="BA32" s="184"/>
      <c r="BB32" s="184">
        <v>2825000</v>
      </c>
      <c r="BC32" s="55">
        <f t="shared" si="0"/>
        <v>2825000</v>
      </c>
      <c r="BD32" s="186"/>
    </row>
    <row r="33" spans="1:56" s="162" customFormat="1" ht="24.6" customHeight="1">
      <c r="A33" s="181">
        <v>46210</v>
      </c>
      <c r="B33" s="182" t="s">
        <v>416</v>
      </c>
      <c r="C33" s="183">
        <v>7928</v>
      </c>
      <c r="D33" s="183">
        <v>10841</v>
      </c>
      <c r="E33" s="184">
        <v>4903500</v>
      </c>
      <c r="F33" s="184"/>
      <c r="G33" s="184"/>
      <c r="H33" s="184"/>
      <c r="I33" s="184"/>
      <c r="J33" s="184"/>
      <c r="K33" s="184"/>
      <c r="L33" s="184"/>
      <c r="M33" s="184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84"/>
      <c r="AA33" s="184"/>
      <c r="AB33" s="184"/>
      <c r="AC33" s="184"/>
      <c r="AD33" s="184">
        <v>0</v>
      </c>
      <c r="AE33" s="184"/>
      <c r="AF33" s="184"/>
      <c r="AG33" s="184"/>
      <c r="AH33" s="184"/>
      <c r="AI33" s="184"/>
      <c r="AJ33" s="184"/>
      <c r="AK33" s="184"/>
      <c r="AL33" s="184"/>
      <c r="AM33" s="184"/>
      <c r="AN33" s="184"/>
      <c r="AO33" s="184"/>
      <c r="AP33" s="184"/>
      <c r="AQ33" s="184"/>
      <c r="AR33" s="184"/>
      <c r="AS33" s="184"/>
      <c r="AT33" s="184"/>
      <c r="AU33" s="184"/>
      <c r="AV33" s="184"/>
      <c r="AW33" s="184"/>
      <c r="AX33" s="184"/>
      <c r="AY33" s="184"/>
      <c r="AZ33" s="184"/>
      <c r="BA33" s="184"/>
      <c r="BB33" s="184">
        <v>4903500</v>
      </c>
      <c r="BC33" s="55">
        <f t="shared" si="0"/>
        <v>4903500</v>
      </c>
      <c r="BD33" s="186"/>
    </row>
    <row r="34" spans="1:56" s="41" customFormat="1" ht="24.6" customHeight="1">
      <c r="A34" s="59">
        <v>46210</v>
      </c>
      <c r="B34" s="45" t="s">
        <v>92</v>
      </c>
      <c r="C34" s="57">
        <v>7934</v>
      </c>
      <c r="D34" s="57">
        <v>10839</v>
      </c>
      <c r="E34" s="58">
        <v>200000</v>
      </c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>
        <v>200000</v>
      </c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5">
        <f t="shared" si="0"/>
        <v>200000</v>
      </c>
      <c r="BD34" s="180"/>
    </row>
    <row r="35" spans="1:56" s="41" customFormat="1" ht="24.6" customHeight="1">
      <c r="A35" s="59">
        <v>46210</v>
      </c>
      <c r="B35" s="45" t="s">
        <v>295</v>
      </c>
      <c r="C35" s="57">
        <v>7900</v>
      </c>
      <c r="D35" s="57">
        <v>10804</v>
      </c>
      <c r="E35" s="58">
        <v>555000</v>
      </c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>
        <v>555000</v>
      </c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5">
        <f t="shared" si="0"/>
        <v>555000</v>
      </c>
      <c r="BD35" s="180"/>
    </row>
    <row r="36" spans="1:56" s="41" customFormat="1" ht="24.6" customHeight="1">
      <c r="A36" s="59">
        <v>46210</v>
      </c>
      <c r="B36" s="45" t="s">
        <v>30</v>
      </c>
      <c r="C36" s="57">
        <v>7933</v>
      </c>
      <c r="D36" s="57">
        <v>10867</v>
      </c>
      <c r="E36" s="58">
        <v>500000</v>
      </c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>
        <v>500000</v>
      </c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5">
        <f t="shared" si="0"/>
        <v>500000</v>
      </c>
      <c r="BD36" s="180"/>
    </row>
    <row r="37" spans="1:56" s="41" customFormat="1" ht="24.6" customHeight="1">
      <c r="A37" s="59">
        <v>46210</v>
      </c>
      <c r="B37" s="45" t="s">
        <v>360</v>
      </c>
      <c r="C37" s="57">
        <v>7904</v>
      </c>
      <c r="D37" s="57">
        <v>10809</v>
      </c>
      <c r="E37" s="58">
        <v>1169400</v>
      </c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>
        <v>1169400</v>
      </c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5">
        <f t="shared" si="0"/>
        <v>1169400</v>
      </c>
      <c r="BD37" s="180"/>
    </row>
    <row r="38" spans="1:56" s="41" customFormat="1" ht="24.6" customHeight="1">
      <c r="A38" s="59">
        <v>46210</v>
      </c>
      <c r="B38" s="45" t="s">
        <v>73</v>
      </c>
      <c r="C38" s="57">
        <v>7931</v>
      </c>
      <c r="D38" s="57">
        <v>10840</v>
      </c>
      <c r="E38" s="58">
        <v>2250000</v>
      </c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>
        <f>50000+120000</f>
        <v>170000</v>
      </c>
      <c r="Z38" s="58">
        <f>1800000</f>
        <v>1800000</v>
      </c>
      <c r="AA38" s="58"/>
      <c r="AB38" s="58"/>
      <c r="AC38" s="58"/>
      <c r="AD38" s="58"/>
      <c r="AE38" s="58">
        <f>80000+100000+100000</f>
        <v>280000</v>
      </c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5">
        <f t="shared" si="0"/>
        <v>2250000</v>
      </c>
      <c r="BD38" s="180"/>
    </row>
    <row r="39" spans="1:56" s="41" customFormat="1" ht="24.6" customHeight="1">
      <c r="A39" s="59">
        <v>46210</v>
      </c>
      <c r="B39" s="45" t="s">
        <v>128</v>
      </c>
      <c r="C39" s="57">
        <v>7936</v>
      </c>
      <c r="D39" s="57">
        <v>10845</v>
      </c>
      <c r="E39" s="58">
        <v>4039500</v>
      </c>
      <c r="F39" s="58"/>
      <c r="G39" s="58"/>
      <c r="H39" s="58">
        <v>4039500</v>
      </c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5">
        <f t="shared" si="0"/>
        <v>4039500</v>
      </c>
      <c r="BD39" s="180"/>
    </row>
    <row r="40" spans="1:56" s="41" customFormat="1" ht="24.6" customHeight="1">
      <c r="A40" s="59">
        <v>46210</v>
      </c>
      <c r="B40" s="45" t="s">
        <v>417</v>
      </c>
      <c r="C40" s="57">
        <v>7935</v>
      </c>
      <c r="D40" s="57">
        <v>10844</v>
      </c>
      <c r="E40" s="58">
        <v>4799880</v>
      </c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>
        <v>4799880</v>
      </c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5">
        <f t="shared" si="0"/>
        <v>4799880</v>
      </c>
      <c r="BD40" s="180"/>
    </row>
    <row r="41" spans="1:56" s="41" customFormat="1" ht="24.6" customHeight="1">
      <c r="A41" s="59">
        <v>46212</v>
      </c>
      <c r="B41" s="45" t="s">
        <v>418</v>
      </c>
      <c r="C41" s="57">
        <v>7874</v>
      </c>
      <c r="D41" s="57"/>
      <c r="E41" s="58">
        <v>12072012</v>
      </c>
      <c r="F41" s="58">
        <v>12072012</v>
      </c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5">
        <f t="shared" si="0"/>
        <v>0</v>
      </c>
      <c r="BD41" s="180"/>
    </row>
    <row r="42" spans="1:56" s="41" customFormat="1" ht="24.6" customHeight="1">
      <c r="A42" s="59">
        <v>46212</v>
      </c>
      <c r="B42" s="45" t="s">
        <v>419</v>
      </c>
      <c r="C42" s="57">
        <v>7822</v>
      </c>
      <c r="D42" s="57"/>
      <c r="E42" s="58">
        <v>466200</v>
      </c>
      <c r="F42" s="58">
        <v>466200</v>
      </c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5">
        <f t="shared" si="0"/>
        <v>0</v>
      </c>
      <c r="BD42" s="180"/>
    </row>
    <row r="43" spans="1:56" s="41" customFormat="1" ht="31.5" customHeight="1">
      <c r="A43" s="59">
        <v>46212</v>
      </c>
      <c r="B43" s="45" t="s">
        <v>420</v>
      </c>
      <c r="C43" s="57">
        <v>7905</v>
      </c>
      <c r="D43" s="57"/>
      <c r="E43" s="58">
        <v>7383270</v>
      </c>
      <c r="F43" s="58">
        <v>7383270</v>
      </c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5">
        <f t="shared" si="0"/>
        <v>0</v>
      </c>
      <c r="BD43" s="180"/>
    </row>
    <row r="44" spans="1:56" s="41" customFormat="1" ht="35.450000000000003" customHeight="1">
      <c r="A44" s="59">
        <v>46212</v>
      </c>
      <c r="B44" s="50" t="s">
        <v>421</v>
      </c>
      <c r="C44" s="57">
        <v>7922</v>
      </c>
      <c r="D44" s="57"/>
      <c r="E44" s="58">
        <v>3577500</v>
      </c>
      <c r="F44" s="58">
        <v>3577500</v>
      </c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5">
        <f t="shared" si="0"/>
        <v>0</v>
      </c>
      <c r="BD44" s="180"/>
    </row>
    <row r="45" spans="1:56" s="41" customFormat="1" ht="24.6" customHeight="1">
      <c r="A45" s="59">
        <v>46212</v>
      </c>
      <c r="B45" s="45" t="s">
        <v>418</v>
      </c>
      <c r="C45" s="57">
        <v>7940</v>
      </c>
      <c r="D45" s="57"/>
      <c r="E45" s="58">
        <v>5330100</v>
      </c>
      <c r="F45" s="58">
        <v>5330100</v>
      </c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5">
        <f t="shared" si="0"/>
        <v>0</v>
      </c>
      <c r="BD45" s="180"/>
    </row>
    <row r="46" spans="1:56" s="41" customFormat="1" ht="24.6" customHeight="1">
      <c r="A46" s="59">
        <v>46212</v>
      </c>
      <c r="B46" s="45" t="s">
        <v>48</v>
      </c>
      <c r="C46" s="57">
        <v>7924</v>
      </c>
      <c r="D46" s="57">
        <v>10847</v>
      </c>
      <c r="E46" s="58">
        <v>10444009</v>
      </c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>
        <v>10444009</v>
      </c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5">
        <f t="shared" si="0"/>
        <v>10444009</v>
      </c>
      <c r="BD46" s="180"/>
    </row>
    <row r="47" spans="1:56" s="41" customFormat="1" ht="24.6" customHeight="1">
      <c r="A47" s="59">
        <v>46211</v>
      </c>
      <c r="B47" s="45" t="s">
        <v>422</v>
      </c>
      <c r="C47" s="57">
        <v>7944</v>
      </c>
      <c r="D47" s="57">
        <v>10864</v>
      </c>
      <c r="E47" s="58">
        <v>545000</v>
      </c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>
        <v>545000</v>
      </c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5">
        <f t="shared" si="0"/>
        <v>545000</v>
      </c>
      <c r="BD47" s="180"/>
    </row>
    <row r="48" spans="1:56" s="41" customFormat="1" ht="24.6" customHeight="1">
      <c r="A48" s="59">
        <v>46211</v>
      </c>
      <c r="B48" s="45" t="s">
        <v>252</v>
      </c>
      <c r="C48" s="57">
        <v>7925</v>
      </c>
      <c r="D48" s="57">
        <v>10866</v>
      </c>
      <c r="E48" s="58">
        <v>470000</v>
      </c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>
        <v>470000</v>
      </c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5">
        <f t="shared" si="0"/>
        <v>470000</v>
      </c>
      <c r="BD48" s="180"/>
    </row>
    <row r="49" spans="1:56" s="41" customFormat="1" ht="24.6" customHeight="1">
      <c r="A49" s="59">
        <v>46212</v>
      </c>
      <c r="B49" s="45" t="s">
        <v>186</v>
      </c>
      <c r="C49" s="57">
        <v>7932</v>
      </c>
      <c r="D49" s="57">
        <v>10855</v>
      </c>
      <c r="E49" s="58">
        <v>1075000</v>
      </c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>
        <v>1075000</v>
      </c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5">
        <f t="shared" si="0"/>
        <v>1075000</v>
      </c>
      <c r="BD49" s="180"/>
    </row>
    <row r="50" spans="1:56" s="41" customFormat="1" ht="24.6" customHeight="1">
      <c r="A50" s="59">
        <v>46212</v>
      </c>
      <c r="B50" s="45" t="s">
        <v>423</v>
      </c>
      <c r="C50" s="57">
        <v>7943</v>
      </c>
      <c r="D50" s="57">
        <v>10865</v>
      </c>
      <c r="E50" s="58">
        <v>960000</v>
      </c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>
        <v>960000</v>
      </c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5">
        <f t="shared" si="0"/>
        <v>960000</v>
      </c>
      <c r="BD50" s="180"/>
    </row>
    <row r="51" spans="1:56" s="41" customFormat="1" ht="24.6" customHeight="1">
      <c r="A51" s="59">
        <v>46212</v>
      </c>
      <c r="B51" s="45" t="s">
        <v>165</v>
      </c>
      <c r="C51" s="57">
        <v>7908</v>
      </c>
      <c r="D51" s="57">
        <v>10829</v>
      </c>
      <c r="E51" s="58">
        <v>340000</v>
      </c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>
        <v>340000</v>
      </c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5">
        <f t="shared" si="0"/>
        <v>340000</v>
      </c>
      <c r="BD51" s="180"/>
    </row>
    <row r="52" spans="1:56" s="41" customFormat="1" ht="24.6" customHeight="1">
      <c r="A52" s="59">
        <v>46219</v>
      </c>
      <c r="B52" s="45" t="s">
        <v>73</v>
      </c>
      <c r="C52" s="57">
        <v>7975</v>
      </c>
      <c r="D52" s="57"/>
      <c r="E52" s="58">
        <v>5880000</v>
      </c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>
        <v>2000000</v>
      </c>
      <c r="AE52" s="58"/>
      <c r="AF52" s="58"/>
      <c r="AG52" s="58">
        <v>3880000</v>
      </c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5">
        <f t="shared" si="0"/>
        <v>5880000</v>
      </c>
      <c r="BD52" s="180"/>
    </row>
    <row r="53" spans="1:56" s="41" customFormat="1" ht="24.6" customHeight="1">
      <c r="A53" s="59">
        <v>46220</v>
      </c>
      <c r="B53" s="45" t="s">
        <v>30</v>
      </c>
      <c r="C53" s="57">
        <v>7969</v>
      </c>
      <c r="D53" s="57">
        <v>10956</v>
      </c>
      <c r="E53" s="58">
        <v>1550500</v>
      </c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>
        <v>1550500</v>
      </c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5">
        <f t="shared" si="0"/>
        <v>1550500</v>
      </c>
      <c r="BD53" s="180"/>
    </row>
    <row r="54" spans="1:56" s="41" customFormat="1" ht="24.6" customHeight="1">
      <c r="A54" s="59">
        <v>46220</v>
      </c>
      <c r="B54" s="45" t="s">
        <v>30</v>
      </c>
      <c r="C54" s="57">
        <v>7949</v>
      </c>
      <c r="D54" s="57"/>
      <c r="E54" s="58">
        <v>1501000</v>
      </c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>
        <v>1501000</v>
      </c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5">
        <f t="shared" si="0"/>
        <v>1501000</v>
      </c>
      <c r="BD54" s="180"/>
    </row>
    <row r="55" spans="1:56" s="41" customFormat="1" ht="24.6" customHeight="1">
      <c r="A55" s="59">
        <v>46220</v>
      </c>
      <c r="B55" s="45" t="s">
        <v>74</v>
      </c>
      <c r="C55" s="57">
        <v>7971</v>
      </c>
      <c r="D55" s="57">
        <v>10958</v>
      </c>
      <c r="E55" s="58">
        <v>175000</v>
      </c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>
        <v>175000</v>
      </c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5">
        <f t="shared" si="0"/>
        <v>175000</v>
      </c>
      <c r="BD55" s="180"/>
    </row>
    <row r="56" spans="1:56" s="41" customFormat="1" ht="24.6" customHeight="1">
      <c r="A56" s="59">
        <v>46220</v>
      </c>
      <c r="B56" s="45" t="s">
        <v>25</v>
      </c>
      <c r="C56" s="57">
        <v>7966</v>
      </c>
      <c r="D56" s="57">
        <v>10957</v>
      </c>
      <c r="E56" s="58">
        <v>500000</v>
      </c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>
        <v>500000</v>
      </c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5">
        <f t="shared" si="0"/>
        <v>500000</v>
      </c>
      <c r="BD56" s="180"/>
    </row>
    <row r="57" spans="1:56" s="41" customFormat="1" ht="24.6" customHeight="1">
      <c r="A57" s="59">
        <v>46220</v>
      </c>
      <c r="B57" s="45" t="s">
        <v>424</v>
      </c>
      <c r="C57" s="57">
        <v>7964</v>
      </c>
      <c r="D57" s="57">
        <v>10962</v>
      </c>
      <c r="E57" s="58">
        <v>1000000</v>
      </c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>
        <v>1000000</v>
      </c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5">
        <f t="shared" si="0"/>
        <v>1000000</v>
      </c>
      <c r="BD57" s="180"/>
    </row>
    <row r="58" spans="1:56" s="41" customFormat="1" ht="24.6" customHeight="1">
      <c r="A58" s="59">
        <v>46220</v>
      </c>
      <c r="B58" s="45" t="s">
        <v>82</v>
      </c>
      <c r="C58" s="57">
        <v>7951</v>
      </c>
      <c r="D58" s="57">
        <v>10930</v>
      </c>
      <c r="E58" s="58">
        <v>1140000</v>
      </c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>
        <v>1140000</v>
      </c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5">
        <f t="shared" si="0"/>
        <v>1140000</v>
      </c>
      <c r="BD58" s="180"/>
    </row>
    <row r="59" spans="1:56" s="41" customFormat="1" ht="24.6" customHeight="1">
      <c r="A59" s="59">
        <v>46220</v>
      </c>
      <c r="B59" s="45" t="s">
        <v>238</v>
      </c>
      <c r="C59" s="57">
        <v>7958</v>
      </c>
      <c r="D59" s="57">
        <v>10944</v>
      </c>
      <c r="E59" s="58">
        <v>1500000</v>
      </c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>
        <v>1500000</v>
      </c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5">
        <f t="shared" si="0"/>
        <v>1500000</v>
      </c>
      <c r="BD59" s="180"/>
    </row>
    <row r="60" spans="1:56" s="41" customFormat="1" ht="24.6" customHeight="1">
      <c r="A60" s="59">
        <v>46220</v>
      </c>
      <c r="B60" s="45" t="s">
        <v>248</v>
      </c>
      <c r="C60" s="57">
        <v>7970</v>
      </c>
      <c r="D60" s="57">
        <v>10950</v>
      </c>
      <c r="E60" s="58">
        <v>742000</v>
      </c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>
        <f>742000</f>
        <v>742000</v>
      </c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5">
        <f t="shared" si="0"/>
        <v>742000</v>
      </c>
      <c r="BD60" s="180"/>
    </row>
    <row r="61" spans="1:56" s="41" customFormat="1" ht="24.6" customHeight="1">
      <c r="A61" s="59">
        <v>46220</v>
      </c>
      <c r="B61" s="45" t="s">
        <v>425</v>
      </c>
      <c r="C61" s="57">
        <v>7972</v>
      </c>
      <c r="D61" s="57">
        <v>10935</v>
      </c>
      <c r="E61" s="58">
        <v>500000</v>
      </c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>
        <v>500000</v>
      </c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5">
        <f t="shared" si="0"/>
        <v>500000</v>
      </c>
      <c r="BD61" s="180"/>
    </row>
    <row r="62" spans="1:56" s="41" customFormat="1" ht="24.6" customHeight="1">
      <c r="A62" s="59">
        <v>46220</v>
      </c>
      <c r="B62" s="45" t="s">
        <v>74</v>
      </c>
      <c r="C62" s="57">
        <v>7963</v>
      </c>
      <c r="D62" s="57"/>
      <c r="E62" s="58">
        <v>450000</v>
      </c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>
        <v>450000</v>
      </c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5">
        <f t="shared" si="0"/>
        <v>450000</v>
      </c>
      <c r="BD62" s="180"/>
    </row>
    <row r="63" spans="1:56" s="41" customFormat="1" ht="24.6" customHeight="1">
      <c r="A63" s="59">
        <v>46219</v>
      </c>
      <c r="B63" s="45" t="s">
        <v>426</v>
      </c>
      <c r="C63" s="57">
        <v>7856</v>
      </c>
      <c r="D63" s="57">
        <v>10757</v>
      </c>
      <c r="E63" s="58">
        <v>2400000</v>
      </c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>
        <v>2400000</v>
      </c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5">
        <f t="shared" si="0"/>
        <v>2400000</v>
      </c>
      <c r="BD63" s="180"/>
    </row>
    <row r="64" spans="1:56" s="41" customFormat="1" ht="24.6" customHeight="1">
      <c r="A64" s="59">
        <v>46220</v>
      </c>
      <c r="B64" s="45" t="s">
        <v>427</v>
      </c>
      <c r="C64" s="57">
        <v>7947</v>
      </c>
      <c r="D64" s="57">
        <v>10893</v>
      </c>
      <c r="E64" s="58">
        <v>1175000</v>
      </c>
      <c r="F64" s="58">
        <v>75000</v>
      </c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>
        <v>1250000</v>
      </c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5">
        <f t="shared" si="0"/>
        <v>1250000</v>
      </c>
      <c r="BD64" s="180"/>
    </row>
    <row r="65" spans="1:56" s="41" customFormat="1" ht="24.6" customHeight="1">
      <c r="A65" s="59">
        <v>46220</v>
      </c>
      <c r="B65" s="45" t="s">
        <v>428</v>
      </c>
      <c r="C65" s="57">
        <v>7963</v>
      </c>
      <c r="D65" s="57">
        <v>10947</v>
      </c>
      <c r="E65" s="58">
        <v>450000</v>
      </c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>
        <v>450000</v>
      </c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5">
        <f t="shared" si="0"/>
        <v>450000</v>
      </c>
      <c r="BD65" s="180"/>
    </row>
    <row r="66" spans="1:56" s="41" customFormat="1" ht="24.6" customHeight="1">
      <c r="A66" s="59">
        <v>46220</v>
      </c>
      <c r="B66" s="45" t="s">
        <v>93</v>
      </c>
      <c r="C66" s="57">
        <v>7950</v>
      </c>
      <c r="D66" s="57">
        <v>10932</v>
      </c>
      <c r="E66" s="58">
        <v>200000</v>
      </c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>
        <v>200000</v>
      </c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5">
        <f t="shared" si="0"/>
        <v>200000</v>
      </c>
      <c r="BD66" s="180"/>
    </row>
    <row r="67" spans="1:56" s="41" customFormat="1" ht="24.6" customHeight="1">
      <c r="A67" s="59">
        <v>46220</v>
      </c>
      <c r="B67" s="45" t="s">
        <v>242</v>
      </c>
      <c r="C67" s="57">
        <v>7961</v>
      </c>
      <c r="D67" s="57">
        <v>10951</v>
      </c>
      <c r="E67" s="58">
        <v>200000</v>
      </c>
      <c r="F67" s="58"/>
      <c r="G67" s="58"/>
      <c r="H67" s="58"/>
      <c r="I67" s="187"/>
      <c r="J67" s="187"/>
      <c r="K67" s="187"/>
      <c r="L67" s="187"/>
      <c r="M67" s="187"/>
      <c r="N67" s="187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>
        <v>200000</v>
      </c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5">
        <f t="shared" si="0"/>
        <v>200000</v>
      </c>
      <c r="BD67" s="180"/>
    </row>
    <row r="68" spans="1:56" s="41" customFormat="1" ht="24.6" customHeight="1">
      <c r="A68" s="59">
        <v>46223</v>
      </c>
      <c r="B68" s="45" t="s">
        <v>25</v>
      </c>
      <c r="C68" s="57">
        <v>7955</v>
      </c>
      <c r="D68" s="57">
        <v>10934</v>
      </c>
      <c r="E68" s="58">
        <v>800000</v>
      </c>
      <c r="F68" s="58"/>
      <c r="G68" s="58"/>
      <c r="H68" s="58"/>
      <c r="I68" s="58"/>
      <c r="J68" s="58"/>
      <c r="K68" s="58"/>
      <c r="L68" s="58"/>
      <c r="M68" s="58"/>
      <c r="N68" s="58"/>
      <c r="O68" s="58">
        <v>800000</v>
      </c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>
        <v>800000</v>
      </c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5">
        <f t="shared" ref="BC68:BC93" si="1">G68+H68+I68+J68+K68+L68+M68+N68+P68+Q68+R68+S68+T68+U68+V68+W68+X68+Y68+Z68+AA68+AB68+AC68+AD68+AE68+AF68+AG68+AH68+AI68+AJ68+AK68+AL68+AM68+AN68+AO68+AP68+AQ68+AR68+AS68+AT68+AU68+AV68+AW68+AX68+AY68+AZ68+BA68+BB68</f>
        <v>800000</v>
      </c>
      <c r="BD68" s="180"/>
    </row>
    <row r="69" spans="1:56" s="41" customFormat="1" ht="24.6" customHeight="1">
      <c r="A69" s="59">
        <v>46223</v>
      </c>
      <c r="B69" s="45" t="s">
        <v>188</v>
      </c>
      <c r="C69" s="57">
        <v>7952</v>
      </c>
      <c r="D69" s="57">
        <v>10931</v>
      </c>
      <c r="E69" s="58">
        <v>660000</v>
      </c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>
        <v>660000</v>
      </c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5">
        <f t="shared" si="1"/>
        <v>660000</v>
      </c>
      <c r="BD69" s="180"/>
    </row>
    <row r="70" spans="1:56" s="41" customFormat="1" ht="24.6" customHeight="1">
      <c r="A70" s="59">
        <v>46223</v>
      </c>
      <c r="B70" s="45" t="s">
        <v>176</v>
      </c>
      <c r="C70" s="57">
        <v>7962</v>
      </c>
      <c r="D70" s="57">
        <v>10948</v>
      </c>
      <c r="E70" s="58">
        <v>500000</v>
      </c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>
        <v>500000</v>
      </c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5">
        <f t="shared" si="1"/>
        <v>500000</v>
      </c>
      <c r="BD70" s="180"/>
    </row>
    <row r="71" spans="1:56" s="41" customFormat="1" ht="24.6" customHeight="1">
      <c r="A71" s="59">
        <v>46223</v>
      </c>
      <c r="B71" s="45" t="s">
        <v>96</v>
      </c>
      <c r="C71" s="57">
        <v>7967</v>
      </c>
      <c r="D71" s="57">
        <v>10959</v>
      </c>
      <c r="E71" s="58">
        <v>550000</v>
      </c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>
        <v>550000</v>
      </c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5">
        <f t="shared" si="1"/>
        <v>550000</v>
      </c>
      <c r="BD71" s="180"/>
    </row>
    <row r="72" spans="1:56" s="41" customFormat="1" ht="24.6" customHeight="1">
      <c r="A72" s="59">
        <v>46224</v>
      </c>
      <c r="B72" s="45" t="s">
        <v>264</v>
      </c>
      <c r="C72" s="57">
        <v>7954</v>
      </c>
      <c r="D72" s="57">
        <v>10933</v>
      </c>
      <c r="E72" s="58">
        <v>1200000</v>
      </c>
      <c r="F72" s="58"/>
      <c r="G72" s="58"/>
      <c r="H72" s="58"/>
      <c r="I72" s="58"/>
      <c r="J72" s="58"/>
      <c r="K72" s="58"/>
      <c r="L72" s="58"/>
      <c r="M72" s="58"/>
      <c r="N72" s="58">
        <v>1200000</v>
      </c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5">
        <f t="shared" si="1"/>
        <v>1200000</v>
      </c>
      <c r="BD72" s="180"/>
    </row>
    <row r="73" spans="1:56" s="41" customFormat="1" ht="24.6" customHeight="1">
      <c r="A73" s="59">
        <v>46230</v>
      </c>
      <c r="B73" s="45" t="s">
        <v>429</v>
      </c>
      <c r="C73" s="57">
        <v>7981</v>
      </c>
      <c r="D73" s="57">
        <v>12008</v>
      </c>
      <c r="E73" s="58">
        <v>500000</v>
      </c>
      <c r="F73" s="58"/>
      <c r="G73" s="58"/>
      <c r="H73" s="58"/>
      <c r="I73" s="58"/>
      <c r="J73" s="58"/>
      <c r="K73" s="58"/>
      <c r="L73" s="58"/>
      <c r="M73" s="58">
        <v>500000</v>
      </c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5">
        <f t="shared" si="1"/>
        <v>500000</v>
      </c>
      <c r="BD73" s="180"/>
    </row>
    <row r="74" spans="1:56" s="41" customFormat="1" ht="24.6" customHeight="1">
      <c r="A74" s="59">
        <v>46224</v>
      </c>
      <c r="B74" s="45" t="s">
        <v>430</v>
      </c>
      <c r="C74" s="57">
        <v>7956</v>
      </c>
      <c r="D74" s="57">
        <v>10936</v>
      </c>
      <c r="E74" s="58">
        <v>1000000</v>
      </c>
      <c r="F74" s="58"/>
      <c r="G74" s="58"/>
      <c r="H74" s="58"/>
      <c r="I74" s="58"/>
      <c r="J74" s="58"/>
      <c r="K74" s="58"/>
      <c r="L74" s="58">
        <v>1000000</v>
      </c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5">
        <f t="shared" si="1"/>
        <v>1000000</v>
      </c>
      <c r="BD74" s="180"/>
    </row>
    <row r="75" spans="1:56" s="41" customFormat="1" ht="24.6" customHeight="1">
      <c r="A75" s="59">
        <v>46224</v>
      </c>
      <c r="B75" s="45" t="s">
        <v>89</v>
      </c>
      <c r="C75" s="57">
        <v>7976</v>
      </c>
      <c r="D75" s="57">
        <v>10987</v>
      </c>
      <c r="E75" s="58">
        <v>3000000</v>
      </c>
      <c r="F75" s="58"/>
      <c r="G75" s="58"/>
      <c r="H75" s="58"/>
      <c r="I75" s="58"/>
      <c r="J75" s="58"/>
      <c r="K75" s="58">
        <v>3000000</v>
      </c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5">
        <f t="shared" si="1"/>
        <v>3000000</v>
      </c>
      <c r="BD75" s="180"/>
    </row>
    <row r="76" spans="1:56" s="41" customFormat="1" ht="24.6" customHeight="1">
      <c r="A76" s="59">
        <v>46226</v>
      </c>
      <c r="B76" s="45" t="s">
        <v>411</v>
      </c>
      <c r="C76" s="57">
        <v>7916</v>
      </c>
      <c r="D76" s="57"/>
      <c r="E76" s="58">
        <v>4300500</v>
      </c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8"/>
      <c r="AR76" s="58"/>
      <c r="AS76" s="58"/>
      <c r="AT76" s="58">
        <v>4300500</v>
      </c>
      <c r="AU76" s="58"/>
      <c r="AV76" s="58"/>
      <c r="AW76" s="58"/>
      <c r="AX76" s="58"/>
      <c r="AY76" s="58"/>
      <c r="AZ76" s="58"/>
      <c r="BA76" s="58"/>
      <c r="BB76" s="58"/>
      <c r="BC76" s="55">
        <f t="shared" si="1"/>
        <v>4300500</v>
      </c>
      <c r="BD76" s="180"/>
    </row>
    <row r="77" spans="1:56" s="41" customFormat="1" ht="24.6" customHeight="1">
      <c r="A77" s="59">
        <v>46227</v>
      </c>
      <c r="B77" s="45" t="s">
        <v>431</v>
      </c>
      <c r="C77" s="57">
        <v>7980</v>
      </c>
      <c r="D77" s="57">
        <v>11000</v>
      </c>
      <c r="E77" s="58">
        <v>800000</v>
      </c>
      <c r="F77" s="58"/>
      <c r="G77" s="58"/>
      <c r="H77" s="58"/>
      <c r="I77" s="58"/>
      <c r="J77" s="58"/>
      <c r="K77" s="58"/>
      <c r="L77" s="58"/>
      <c r="M77" s="58">
        <v>800000</v>
      </c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5">
        <f t="shared" si="1"/>
        <v>800000</v>
      </c>
      <c r="BD77" s="180"/>
    </row>
    <row r="78" spans="1:56" s="41" customFormat="1" ht="24.6" customHeight="1">
      <c r="A78" s="59">
        <v>46227</v>
      </c>
      <c r="B78" s="45" t="s">
        <v>432</v>
      </c>
      <c r="C78" s="57">
        <v>7991</v>
      </c>
      <c r="D78" s="57">
        <v>12010</v>
      </c>
      <c r="E78" s="58">
        <v>1000000</v>
      </c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>
        <f>1000000</f>
        <v>1000000</v>
      </c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5">
        <f t="shared" si="1"/>
        <v>1000000</v>
      </c>
      <c r="BD78" s="180"/>
    </row>
    <row r="79" spans="1:56" s="41" customFormat="1" ht="24.6" customHeight="1">
      <c r="A79" s="59">
        <v>46227</v>
      </c>
      <c r="B79" s="45" t="s">
        <v>433</v>
      </c>
      <c r="C79" s="57">
        <v>7990</v>
      </c>
      <c r="D79" s="57">
        <v>10980</v>
      </c>
      <c r="E79" s="58">
        <v>1000000</v>
      </c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>
        <v>1000000</v>
      </c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5">
        <f t="shared" si="1"/>
        <v>1000000</v>
      </c>
      <c r="BD79" s="180"/>
    </row>
    <row r="80" spans="1:56" s="41" customFormat="1" ht="24.6" customHeight="1">
      <c r="A80" s="59">
        <v>46227</v>
      </c>
      <c r="B80" s="45" t="s">
        <v>434</v>
      </c>
      <c r="C80" s="57">
        <v>7985</v>
      </c>
      <c r="D80" s="57">
        <v>12001</v>
      </c>
      <c r="E80" s="58">
        <v>468000</v>
      </c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>
        <f>E80</f>
        <v>468000</v>
      </c>
      <c r="BB80" s="58"/>
      <c r="BC80" s="55">
        <f t="shared" si="1"/>
        <v>468000</v>
      </c>
      <c r="BD80" s="180"/>
    </row>
    <row r="81" spans="1:56" s="41" customFormat="1" ht="24.6" customHeight="1">
      <c r="A81" s="59">
        <v>46227</v>
      </c>
      <c r="B81" s="45" t="s">
        <v>82</v>
      </c>
      <c r="C81" s="57">
        <v>7984</v>
      </c>
      <c r="D81" s="57">
        <v>12007</v>
      </c>
      <c r="E81" s="58">
        <v>439000</v>
      </c>
      <c r="F81" s="58"/>
      <c r="G81" s="58"/>
      <c r="H81" s="58"/>
      <c r="I81" s="58"/>
      <c r="J81" s="58"/>
      <c r="K81" s="58"/>
      <c r="L81" s="58"/>
      <c r="M81" s="58"/>
      <c r="N81" s="58">
        <v>439000</v>
      </c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5">
        <f t="shared" si="1"/>
        <v>439000</v>
      </c>
      <c r="BD81" s="180"/>
    </row>
    <row r="82" spans="1:56" s="41" customFormat="1" ht="24.6" customHeight="1">
      <c r="A82" s="59">
        <v>46227</v>
      </c>
      <c r="B82" s="45" t="s">
        <v>435</v>
      </c>
      <c r="C82" s="57">
        <v>7986</v>
      </c>
      <c r="D82" s="57">
        <v>12002</v>
      </c>
      <c r="E82" s="58">
        <v>670000</v>
      </c>
      <c r="F82" s="58"/>
      <c r="G82" s="58"/>
      <c r="H82" s="58"/>
      <c r="I82" s="58"/>
      <c r="J82" s="58">
        <v>670000</v>
      </c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5">
        <f t="shared" si="1"/>
        <v>670000</v>
      </c>
      <c r="BD82" s="180"/>
    </row>
    <row r="83" spans="1:56" s="41" customFormat="1" ht="24.6" customHeight="1">
      <c r="A83" s="59">
        <v>46227</v>
      </c>
      <c r="B83" s="45" t="s">
        <v>73</v>
      </c>
      <c r="C83" s="57">
        <v>7989</v>
      </c>
      <c r="D83" s="57">
        <v>10979</v>
      </c>
      <c r="E83" s="58">
        <v>500000</v>
      </c>
      <c r="F83" s="58"/>
      <c r="G83" s="58"/>
      <c r="H83" s="58"/>
      <c r="I83" s="58">
        <v>500000</v>
      </c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5">
        <f t="shared" si="1"/>
        <v>500000</v>
      </c>
      <c r="BD83" s="180"/>
    </row>
    <row r="84" spans="1:56" s="41" customFormat="1" ht="24.6" customHeight="1">
      <c r="A84" s="59">
        <v>46226</v>
      </c>
      <c r="B84" s="45" t="s">
        <v>179</v>
      </c>
      <c r="C84" s="57">
        <v>7965</v>
      </c>
      <c r="D84" s="57">
        <v>10964</v>
      </c>
      <c r="E84" s="58">
        <v>1086000</v>
      </c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>
        <v>1086000</v>
      </c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5">
        <f t="shared" si="1"/>
        <v>1086000</v>
      </c>
      <c r="BD84" s="180"/>
    </row>
    <row r="85" spans="1:56" s="41" customFormat="1" ht="24.6" customHeight="1">
      <c r="A85" s="59">
        <v>46200</v>
      </c>
      <c r="B85" s="45" t="s">
        <v>357</v>
      </c>
      <c r="C85" s="57">
        <v>7988</v>
      </c>
      <c r="D85" s="57">
        <v>12003</v>
      </c>
      <c r="E85" s="58">
        <v>300000</v>
      </c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>
        <v>0</v>
      </c>
      <c r="AE85" s="58">
        <v>300000</v>
      </c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5">
        <f t="shared" si="1"/>
        <v>300000</v>
      </c>
      <c r="BD85" s="180"/>
    </row>
    <row r="86" spans="1:56" s="41" customFormat="1" ht="24.6" customHeight="1">
      <c r="A86" s="59">
        <v>46195</v>
      </c>
      <c r="B86" s="45" t="s">
        <v>92</v>
      </c>
      <c r="C86" s="57">
        <v>7968</v>
      </c>
      <c r="D86" s="57">
        <v>10965</v>
      </c>
      <c r="E86" s="58">
        <v>250000</v>
      </c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>
        <v>250000</v>
      </c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5">
        <f t="shared" si="1"/>
        <v>250000</v>
      </c>
      <c r="BD86" s="180"/>
    </row>
    <row r="87" spans="1:56" s="41" customFormat="1" ht="24.6" customHeight="1">
      <c r="A87" s="59">
        <v>46203</v>
      </c>
      <c r="B87" s="45" t="s">
        <v>206</v>
      </c>
      <c r="C87" s="57">
        <v>7978</v>
      </c>
      <c r="D87" s="57">
        <v>10985</v>
      </c>
      <c r="E87" s="58">
        <v>1200000</v>
      </c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>
        <v>1200000</v>
      </c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5">
        <f t="shared" si="1"/>
        <v>1200000</v>
      </c>
      <c r="BD87" s="180"/>
    </row>
    <row r="88" spans="1:56" s="41" customFormat="1" ht="24.6" customHeight="1">
      <c r="A88" s="59">
        <v>46234</v>
      </c>
      <c r="B88" s="45" t="s">
        <v>126</v>
      </c>
      <c r="C88" s="57">
        <v>7997</v>
      </c>
      <c r="D88" s="57">
        <v>12024</v>
      </c>
      <c r="E88" s="58">
        <v>4837880</v>
      </c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>
        <v>4837880</v>
      </c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5">
        <f t="shared" si="1"/>
        <v>4837880</v>
      </c>
      <c r="BD88" s="180"/>
    </row>
    <row r="89" spans="1:56" s="41" customFormat="1" ht="24.6" customHeight="1">
      <c r="A89" s="59">
        <v>46234</v>
      </c>
      <c r="B89" s="45" t="s">
        <v>128</v>
      </c>
      <c r="C89" s="57">
        <v>7998</v>
      </c>
      <c r="D89" s="57">
        <v>12042</v>
      </c>
      <c r="E89" s="58">
        <v>4153500</v>
      </c>
      <c r="F89" s="58"/>
      <c r="G89" s="58"/>
      <c r="H89" s="58">
        <v>4153500</v>
      </c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>
        <v>0</v>
      </c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5">
        <f t="shared" si="1"/>
        <v>4153500</v>
      </c>
      <c r="BD89" s="180"/>
    </row>
    <row r="90" spans="1:56" s="41" customFormat="1" ht="24.6" customHeight="1">
      <c r="A90" s="59">
        <v>46233</v>
      </c>
      <c r="B90" s="45" t="s">
        <v>94</v>
      </c>
      <c r="C90" s="57">
        <v>7996</v>
      </c>
      <c r="D90" s="57">
        <v>12046</v>
      </c>
      <c r="E90" s="58">
        <v>107740870</v>
      </c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>
        <v>107740870</v>
      </c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5">
        <f t="shared" si="1"/>
        <v>107740870</v>
      </c>
      <c r="BD90" s="180"/>
    </row>
    <row r="91" spans="1:56" s="41" customFormat="1" ht="24.6" customHeight="1">
      <c r="A91" s="59">
        <v>46234</v>
      </c>
      <c r="B91" s="45" t="s">
        <v>436</v>
      </c>
      <c r="C91" s="57">
        <v>7957</v>
      </c>
      <c r="D91" s="57"/>
      <c r="E91" s="58">
        <v>4612413</v>
      </c>
      <c r="F91" s="58">
        <v>4612413</v>
      </c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5">
        <f t="shared" si="1"/>
        <v>0</v>
      </c>
      <c r="BD91" s="180"/>
    </row>
    <row r="92" spans="1:56" s="41" customFormat="1" ht="24.6" customHeight="1">
      <c r="A92" s="59"/>
      <c r="B92" s="45"/>
      <c r="C92" s="57"/>
      <c r="D92" s="57"/>
      <c r="E92" s="58">
        <v>0</v>
      </c>
      <c r="F92" s="58"/>
      <c r="G92" s="58"/>
      <c r="H92" s="58">
        <v>0</v>
      </c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5">
        <f t="shared" si="1"/>
        <v>0</v>
      </c>
      <c r="BD92" s="180"/>
    </row>
    <row r="93" spans="1:56" s="41" customFormat="1" ht="24.6" customHeight="1">
      <c r="A93" s="59"/>
      <c r="B93" s="45" t="s">
        <v>17</v>
      </c>
      <c r="C93" s="57"/>
      <c r="D93" s="57"/>
      <c r="E93" s="58">
        <v>246738</v>
      </c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>
        <v>246738</v>
      </c>
      <c r="BA93" s="58"/>
      <c r="BB93" s="58"/>
      <c r="BC93" s="55">
        <f t="shared" si="1"/>
        <v>246738</v>
      </c>
      <c r="BD93" s="180"/>
    </row>
    <row r="94" spans="1:56" s="163" customFormat="1" ht="17.45" customHeight="1">
      <c r="A94" s="188"/>
      <c r="B94" s="23" t="s">
        <v>5</v>
      </c>
      <c r="C94" s="188"/>
      <c r="D94" s="188"/>
      <c r="E94" s="189">
        <f>SUM(E3:E93)</f>
        <v>472892328</v>
      </c>
      <c r="F94" s="189">
        <f t="shared" ref="F94:BC94" si="2">SUM(F3:F93)</f>
        <v>45789198</v>
      </c>
      <c r="G94" s="189">
        <f t="shared" si="2"/>
        <v>891000</v>
      </c>
      <c r="H94" s="189">
        <f t="shared" si="2"/>
        <v>8193000</v>
      </c>
      <c r="I94" s="189">
        <f t="shared" si="2"/>
        <v>500000</v>
      </c>
      <c r="J94" s="189">
        <f t="shared" si="2"/>
        <v>670000</v>
      </c>
      <c r="K94" s="189">
        <f t="shared" si="2"/>
        <v>3000000</v>
      </c>
      <c r="L94" s="189">
        <f t="shared" si="2"/>
        <v>1000000</v>
      </c>
      <c r="M94" s="189">
        <f t="shared" si="2"/>
        <v>1300000</v>
      </c>
      <c r="N94" s="189">
        <f t="shared" si="2"/>
        <v>22439000</v>
      </c>
      <c r="O94" s="189">
        <f t="shared" si="2"/>
        <v>800000</v>
      </c>
      <c r="P94" s="189">
        <f t="shared" si="2"/>
        <v>3286000</v>
      </c>
      <c r="Q94" s="189">
        <f t="shared" si="2"/>
        <v>450000</v>
      </c>
      <c r="R94" s="189">
        <f t="shared" si="2"/>
        <v>1250000</v>
      </c>
      <c r="S94" s="189">
        <f t="shared" si="2"/>
        <v>2400000</v>
      </c>
      <c r="T94" s="189">
        <f t="shared" si="2"/>
        <v>4000000</v>
      </c>
      <c r="U94" s="189">
        <f t="shared" si="2"/>
        <v>835000</v>
      </c>
      <c r="V94" s="189">
        <f t="shared" si="2"/>
        <v>1082000</v>
      </c>
      <c r="W94" s="189">
        <f t="shared" si="2"/>
        <v>1610000</v>
      </c>
      <c r="X94" s="189">
        <f t="shared" si="2"/>
        <v>10444009</v>
      </c>
      <c r="Y94" s="189">
        <f t="shared" si="2"/>
        <v>170000</v>
      </c>
      <c r="Z94" s="189">
        <f t="shared" si="2"/>
        <v>3080000</v>
      </c>
      <c r="AA94" s="189">
        <f t="shared" si="2"/>
        <v>2419400</v>
      </c>
      <c r="AB94" s="189">
        <f t="shared" si="2"/>
        <v>2000000</v>
      </c>
      <c r="AC94" s="189">
        <f t="shared" si="2"/>
        <v>3606500</v>
      </c>
      <c r="AD94" s="189">
        <f t="shared" si="2"/>
        <v>2000000</v>
      </c>
      <c r="AE94" s="189">
        <f t="shared" si="2"/>
        <v>2770000</v>
      </c>
      <c r="AF94" s="189">
        <f t="shared" si="2"/>
        <v>121583630</v>
      </c>
      <c r="AG94" s="189">
        <f t="shared" si="2"/>
        <v>6130000</v>
      </c>
      <c r="AH94" s="189">
        <f t="shared" si="2"/>
        <v>7402500</v>
      </c>
      <c r="AI94" s="189">
        <f t="shared" si="2"/>
        <v>10703600</v>
      </c>
      <c r="AJ94" s="189">
        <f t="shared" si="2"/>
        <v>5544000</v>
      </c>
      <c r="AK94" s="189">
        <f t="shared" si="2"/>
        <v>7500000</v>
      </c>
      <c r="AL94" s="189">
        <f t="shared" si="2"/>
        <v>560000</v>
      </c>
      <c r="AM94" s="189">
        <f t="shared" si="2"/>
        <v>79204500</v>
      </c>
      <c r="AN94" s="189">
        <f t="shared" si="2"/>
        <v>9720000</v>
      </c>
      <c r="AO94" s="189">
        <f t="shared" si="2"/>
        <v>40400000</v>
      </c>
      <c r="AP94" s="189">
        <f t="shared" si="2"/>
        <v>450000</v>
      </c>
      <c r="AQ94" s="189">
        <f t="shared" si="2"/>
        <v>545000</v>
      </c>
      <c r="AR94" s="189">
        <f t="shared" si="2"/>
        <v>6398200</v>
      </c>
      <c r="AS94" s="189">
        <f t="shared" si="2"/>
        <v>1076500</v>
      </c>
      <c r="AT94" s="189">
        <f t="shared" si="2"/>
        <v>18700500</v>
      </c>
      <c r="AU94" s="189">
        <f t="shared" si="2"/>
        <v>4230000</v>
      </c>
      <c r="AV94" s="189">
        <f t="shared" si="2"/>
        <v>20000000</v>
      </c>
      <c r="AW94" s="189">
        <f t="shared" si="2"/>
        <v>5290559</v>
      </c>
      <c r="AX94" s="189">
        <f t="shared" si="2"/>
        <v>5000000</v>
      </c>
      <c r="AY94" s="189">
        <f t="shared" si="2"/>
        <v>2000000</v>
      </c>
      <c r="AZ94" s="189">
        <f t="shared" si="2"/>
        <v>246738</v>
      </c>
      <c r="BA94" s="189">
        <f t="shared" si="2"/>
        <v>468000</v>
      </c>
      <c r="BB94" s="189">
        <f t="shared" si="2"/>
        <v>19728500</v>
      </c>
      <c r="BC94" s="189">
        <f t="shared" si="2"/>
        <v>452278136</v>
      </c>
      <c r="BD94" s="190"/>
    </row>
  </sheetData>
  <mergeCells count="1">
    <mergeCell ref="B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8"/>
  <sheetViews>
    <sheetView workbookViewId="0">
      <pane ySplit="2" topLeftCell="A3" activePane="bottomLeft" state="frozen"/>
      <selection pane="bottomLeft" activeCell="B3" sqref="B3:B5"/>
    </sheetView>
  </sheetViews>
  <sheetFormatPr defaultColWidth="9" defaultRowHeight="15"/>
  <cols>
    <col min="1" max="1" width="11.7109375" customWidth="1"/>
    <col min="2" max="2" width="24.85546875" customWidth="1"/>
    <col min="5" max="5" width="12.42578125" customWidth="1"/>
    <col min="9" max="9" width="10.140625" customWidth="1"/>
    <col min="11" max="11" width="11.140625" customWidth="1"/>
  </cols>
  <sheetData>
    <row r="1" spans="1:53" s="21" customFormat="1">
      <c r="B1" s="335" t="s">
        <v>437</v>
      </c>
      <c r="C1" s="335"/>
      <c r="D1" s="335"/>
      <c r="E1" s="336"/>
      <c r="F1" s="336"/>
      <c r="P1" s="152"/>
      <c r="AG1" s="153"/>
      <c r="AI1" s="154"/>
      <c r="AJ1" s="154"/>
      <c r="AK1" s="154"/>
      <c r="AL1" s="154"/>
      <c r="AM1" s="154"/>
      <c r="AN1" s="154"/>
      <c r="AO1" s="154"/>
      <c r="AP1" s="154"/>
      <c r="AQ1" s="154"/>
      <c r="AR1" s="154"/>
      <c r="AS1" s="154"/>
      <c r="AT1" s="154"/>
      <c r="AU1" s="154"/>
      <c r="AV1" s="154"/>
      <c r="AW1" s="154"/>
      <c r="AX1" s="154"/>
      <c r="AY1" s="155"/>
      <c r="AZ1" s="154"/>
      <c r="BA1" s="154"/>
    </row>
    <row r="2" spans="1:53" ht="35.25">
      <c r="A2" s="23" t="s">
        <v>1</v>
      </c>
      <c r="B2" s="23" t="s">
        <v>2</v>
      </c>
      <c r="C2" s="24" t="s">
        <v>3</v>
      </c>
      <c r="D2" s="23" t="s">
        <v>4</v>
      </c>
      <c r="E2" s="25" t="s">
        <v>5</v>
      </c>
      <c r="F2" s="25" t="s">
        <v>37</v>
      </c>
      <c r="G2" s="25" t="s">
        <v>389</v>
      </c>
      <c r="H2" s="25" t="s">
        <v>390</v>
      </c>
      <c r="I2" s="25" t="s">
        <v>231</v>
      </c>
      <c r="J2" s="25" t="s">
        <v>403</v>
      </c>
      <c r="K2" s="25" t="s">
        <v>313</v>
      </c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</row>
    <row r="3" spans="1:53" s="21" customFormat="1" ht="24.6" customHeight="1">
      <c r="A3" s="30">
        <v>46234</v>
      </c>
      <c r="B3" s="31" t="s">
        <v>438</v>
      </c>
      <c r="C3" s="32">
        <v>7994</v>
      </c>
      <c r="D3" s="32">
        <v>10674</v>
      </c>
      <c r="E3" s="156">
        <v>8554000</v>
      </c>
      <c r="F3" s="156">
        <v>546000</v>
      </c>
      <c r="G3" s="156"/>
      <c r="H3" s="156"/>
      <c r="I3" s="156">
        <v>9100000</v>
      </c>
      <c r="J3" s="156"/>
      <c r="K3" s="156"/>
      <c r="L3" s="156"/>
      <c r="M3" s="156"/>
      <c r="N3" s="156"/>
      <c r="O3" s="156"/>
      <c r="P3" s="157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8"/>
      <c r="AD3" s="156"/>
      <c r="AE3" s="156"/>
      <c r="AF3" s="156"/>
      <c r="AG3" s="159"/>
      <c r="AH3" s="156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>
        <v>9100000</v>
      </c>
      <c r="AT3" s="156"/>
      <c r="AU3" s="156"/>
      <c r="AV3" s="156"/>
      <c r="AW3" s="156"/>
      <c r="AX3" s="156"/>
      <c r="AY3" s="160"/>
      <c r="AZ3" s="156">
        <f>F3+G3+AH3+AI3+AJ3+AK3+AL3+AM3+AN3+AO3+AQ3+AR3+AS3+AT3+AU3+AV3+AW3+AY3</f>
        <v>9646000</v>
      </c>
      <c r="BA3" s="154"/>
    </row>
    <row r="4" spans="1:53" s="21" customFormat="1" ht="24.6" customHeight="1">
      <c r="A4" s="30">
        <v>46233</v>
      </c>
      <c r="B4" s="31" t="s">
        <v>366</v>
      </c>
      <c r="C4" s="32">
        <v>7987</v>
      </c>
      <c r="D4" s="32">
        <v>10978</v>
      </c>
      <c r="E4" s="156">
        <v>5889200</v>
      </c>
      <c r="F4" s="156"/>
      <c r="G4" s="156"/>
      <c r="H4" s="156"/>
      <c r="I4" s="156"/>
      <c r="J4" s="156" t="s">
        <v>439</v>
      </c>
      <c r="K4" s="156"/>
      <c r="L4" s="156"/>
      <c r="M4" s="156"/>
      <c r="N4" s="156"/>
      <c r="O4" s="156"/>
      <c r="P4" s="157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8"/>
      <c r="AD4" s="156"/>
      <c r="AE4" s="156"/>
      <c r="AF4" s="156"/>
      <c r="AG4" s="159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>
        <v>5889200</v>
      </c>
      <c r="AX4" s="156"/>
      <c r="AY4" s="160"/>
      <c r="AZ4" s="156">
        <f>F4+G4+AH4+AI4+AJ4+AK4+AL4+AM4+AN4+AO4+AQ4+AR4+AS4+AT4+AU4+AV4+AW4+AY4</f>
        <v>5889200</v>
      </c>
      <c r="BA4" s="154"/>
    </row>
    <row r="5" spans="1:53" s="21" customFormat="1" ht="24.6" customHeight="1">
      <c r="A5" s="30">
        <v>46233</v>
      </c>
      <c r="B5" s="31" t="s">
        <v>405</v>
      </c>
      <c r="C5" s="32">
        <v>7854</v>
      </c>
      <c r="D5" s="32">
        <v>10758</v>
      </c>
      <c r="E5" s="156">
        <v>14200000</v>
      </c>
      <c r="F5" s="156">
        <v>0</v>
      </c>
      <c r="G5" s="156"/>
      <c r="H5" s="156"/>
      <c r="I5" s="156"/>
      <c r="J5" s="156"/>
      <c r="K5" s="156">
        <v>14200000</v>
      </c>
      <c r="L5" s="156"/>
      <c r="M5" s="156"/>
      <c r="N5" s="156"/>
      <c r="O5" s="156"/>
      <c r="P5" s="157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8"/>
      <c r="AD5" s="156"/>
      <c r="AE5" s="156"/>
      <c r="AF5" s="156"/>
      <c r="AG5" s="159"/>
      <c r="AH5" s="156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60">
        <v>14200000</v>
      </c>
      <c r="AZ5" s="156">
        <f>F5+G5+AH5+AI5+AJ5+AK5+AL5+AM5+AN5+AO5+AQ5+AR5+AS5+AT5+AU5+AV5+AW5+AY5</f>
        <v>14200000</v>
      </c>
      <c r="BA5" s="154"/>
    </row>
    <row r="6" spans="1:53">
      <c r="A6" s="69"/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</row>
    <row r="7" spans="1:53">
      <c r="A7" s="69"/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</row>
    <row r="8" spans="1:53">
      <c r="A8" s="69"/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</row>
  </sheetData>
  <mergeCells count="1">
    <mergeCell ref="B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2"/>
  <sheetViews>
    <sheetView zoomScale="85" zoomScaleNormal="85" workbookViewId="0">
      <selection activeCell="G18" sqref="G18"/>
    </sheetView>
  </sheetViews>
  <sheetFormatPr defaultColWidth="9" defaultRowHeight="15"/>
  <cols>
    <col min="2" max="2" width="14.140625" customWidth="1"/>
    <col min="3" max="3" width="21.140625" customWidth="1"/>
    <col min="6" max="6" width="11.140625" customWidth="1"/>
    <col min="7" max="7" width="10.85546875" customWidth="1"/>
    <col min="8" max="8" width="13.28515625" customWidth="1"/>
  </cols>
  <sheetData>
    <row r="2" spans="2:8" ht="17.25">
      <c r="B2" s="144"/>
      <c r="C2" s="339" t="s">
        <v>440</v>
      </c>
      <c r="D2" s="340"/>
      <c r="E2" s="340"/>
      <c r="F2" s="340"/>
      <c r="G2" s="146"/>
      <c r="H2" s="146"/>
    </row>
    <row r="3" spans="2:8" ht="44.45" customHeight="1">
      <c r="B3" s="147" t="s">
        <v>1</v>
      </c>
      <c r="C3" s="148" t="s">
        <v>2</v>
      </c>
      <c r="D3" s="147" t="s">
        <v>3</v>
      </c>
      <c r="E3" s="147" t="s">
        <v>4</v>
      </c>
      <c r="F3" s="149" t="s">
        <v>5</v>
      </c>
      <c r="G3" s="150" t="s">
        <v>17</v>
      </c>
      <c r="H3" s="149" t="s">
        <v>5</v>
      </c>
    </row>
    <row r="4" spans="2:8">
      <c r="B4" s="123">
        <v>46053</v>
      </c>
      <c r="C4" s="69" t="s">
        <v>17</v>
      </c>
      <c r="D4" s="69">
        <v>0</v>
      </c>
      <c r="E4" s="69">
        <v>0</v>
      </c>
      <c r="F4" s="122">
        <f>10000+1500+15000+2250</f>
        <v>28750</v>
      </c>
      <c r="G4" s="122">
        <v>28750</v>
      </c>
      <c r="H4" s="122">
        <f>G4</f>
        <v>28750</v>
      </c>
    </row>
    <row r="5" spans="2:8">
      <c r="B5" s="123"/>
      <c r="C5" s="69"/>
      <c r="D5" s="69"/>
      <c r="E5" s="69"/>
      <c r="F5" s="122"/>
      <c r="G5" s="122"/>
      <c r="H5" s="122"/>
    </row>
    <row r="6" spans="2:8">
      <c r="B6" s="123"/>
      <c r="C6" s="69"/>
      <c r="D6" s="69"/>
      <c r="E6" s="69"/>
      <c r="F6" s="122"/>
      <c r="G6" s="122"/>
      <c r="H6" s="122"/>
    </row>
    <row r="7" spans="2:8">
      <c r="B7" s="123"/>
      <c r="C7" s="69"/>
      <c r="D7" s="69"/>
      <c r="E7" s="69"/>
      <c r="F7" s="122"/>
      <c r="G7" s="122"/>
      <c r="H7" s="122"/>
    </row>
    <row r="8" spans="2:8">
      <c r="B8" s="123"/>
      <c r="C8" s="69"/>
      <c r="D8" s="69"/>
      <c r="E8" s="69"/>
      <c r="F8" s="122"/>
      <c r="G8" s="122"/>
      <c r="H8" s="122"/>
    </row>
    <row r="9" spans="2:8">
      <c r="B9" s="69"/>
      <c r="C9" s="69"/>
      <c r="D9" s="69"/>
      <c r="E9" s="69"/>
      <c r="F9" s="122"/>
      <c r="G9" s="122"/>
      <c r="H9" s="122"/>
    </row>
    <row r="10" spans="2:8">
      <c r="B10" s="141"/>
      <c r="C10" s="141"/>
      <c r="D10" s="141"/>
      <c r="E10" s="141"/>
      <c r="F10" s="151"/>
      <c r="G10" s="151"/>
      <c r="H10" s="122"/>
    </row>
    <row r="11" spans="2:8">
      <c r="F11" s="116"/>
      <c r="G11" s="116"/>
      <c r="H11" s="116"/>
    </row>
    <row r="12" spans="2:8">
      <c r="F12" s="116"/>
      <c r="G12" s="116"/>
      <c r="H12" s="116"/>
    </row>
  </sheetData>
  <mergeCells count="1">
    <mergeCell ref="C2:F2"/>
  </mergeCells>
  <pageMargins left="0.70866141732283505" right="0.70866141732283505" top="0.74803149606299202" bottom="0.74803149606299202" header="0.31496062992126" footer="0.31496062992126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Views>
    <sheetView workbookViewId="0">
      <pane ySplit="2" topLeftCell="A3" activePane="bottomLeft" state="frozen"/>
      <selection pane="bottomLeft" activeCell="B3" sqref="B3:B7"/>
    </sheetView>
  </sheetViews>
  <sheetFormatPr defaultColWidth="9" defaultRowHeight="15"/>
  <cols>
    <col min="1" max="1" width="12.5703125" customWidth="1"/>
    <col min="2" max="2" width="22.140625" customWidth="1"/>
    <col min="3" max="3" width="8.42578125" customWidth="1"/>
    <col min="4" max="4" width="7.28515625" customWidth="1"/>
    <col min="5" max="5" width="11.5703125" style="116" customWidth="1"/>
    <col min="6" max="6" width="12.42578125" style="116" customWidth="1"/>
    <col min="7" max="7" width="13.28515625" style="116" customWidth="1"/>
    <col min="8" max="8" width="13.42578125" style="116" customWidth="1"/>
    <col min="9" max="9" width="13.28515625" style="116" customWidth="1"/>
    <col min="20" max="20" width="13.42578125" customWidth="1"/>
  </cols>
  <sheetData>
    <row r="1" spans="1:24" s="144" customFormat="1" ht="47.45" customHeight="1">
      <c r="B1" s="339" t="s">
        <v>440</v>
      </c>
      <c r="C1" s="340"/>
      <c r="D1" s="340"/>
      <c r="E1" s="340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</row>
    <row r="2" spans="1:24" s="145" customFormat="1" ht="31.5">
      <c r="A2" s="147" t="s">
        <v>1</v>
      </c>
      <c r="B2" s="148" t="s">
        <v>2</v>
      </c>
      <c r="C2" s="147" t="s">
        <v>3</v>
      </c>
      <c r="D2" s="147" t="s">
        <v>4</v>
      </c>
      <c r="E2" s="149" t="s">
        <v>5</v>
      </c>
      <c r="F2" s="150" t="s">
        <v>155</v>
      </c>
      <c r="G2" s="150" t="s">
        <v>17</v>
      </c>
      <c r="H2" s="150" t="s">
        <v>50</v>
      </c>
      <c r="I2" s="149" t="s">
        <v>5</v>
      </c>
    </row>
    <row r="3" spans="1:24">
      <c r="A3" s="123">
        <v>46073</v>
      </c>
      <c r="B3" s="69" t="s">
        <v>94</v>
      </c>
      <c r="C3" s="69">
        <v>1780</v>
      </c>
      <c r="D3" s="69">
        <v>11276</v>
      </c>
      <c r="E3" s="122">
        <v>2770000</v>
      </c>
      <c r="F3" s="122">
        <v>2770000</v>
      </c>
      <c r="G3" s="122"/>
      <c r="H3" s="122"/>
      <c r="I3" s="122">
        <f>F3+G3+H3</f>
        <v>2770000</v>
      </c>
    </row>
    <row r="4" spans="1:24">
      <c r="A4" s="123">
        <v>46073</v>
      </c>
      <c r="B4" s="69" t="s">
        <v>94</v>
      </c>
      <c r="C4" s="69">
        <v>1778</v>
      </c>
      <c r="D4" s="69">
        <v>11275</v>
      </c>
      <c r="E4" s="122">
        <v>2770000</v>
      </c>
      <c r="F4" s="122">
        <v>2770000</v>
      </c>
      <c r="G4" s="122"/>
      <c r="H4" s="122"/>
      <c r="I4" s="122">
        <f t="shared" ref="I4:I8" si="0">F4+G4+H4</f>
        <v>2770000</v>
      </c>
    </row>
    <row r="5" spans="1:24">
      <c r="A5" s="123">
        <v>46073</v>
      </c>
      <c r="B5" s="69" t="s">
        <v>94</v>
      </c>
      <c r="C5" s="69">
        <v>1776</v>
      </c>
      <c r="D5" s="69">
        <v>11274</v>
      </c>
      <c r="E5" s="122">
        <v>2770000</v>
      </c>
      <c r="F5" s="122">
        <v>2770000</v>
      </c>
      <c r="G5" s="122"/>
      <c r="H5" s="122"/>
      <c r="I5" s="122">
        <f t="shared" si="0"/>
        <v>2770000</v>
      </c>
    </row>
    <row r="6" spans="1:24">
      <c r="A6" s="123">
        <v>42413</v>
      </c>
      <c r="B6" s="69" t="s">
        <v>266</v>
      </c>
      <c r="C6" s="69">
        <v>1775</v>
      </c>
      <c r="D6" s="69">
        <v>11399</v>
      </c>
      <c r="E6" s="122">
        <v>2500000</v>
      </c>
      <c r="F6" s="122"/>
      <c r="G6" s="122"/>
      <c r="H6" s="122">
        <v>2500000</v>
      </c>
      <c r="I6" s="122">
        <f t="shared" si="0"/>
        <v>2500000</v>
      </c>
      <c r="J6" s="122"/>
      <c r="K6" s="122"/>
      <c r="L6" s="122"/>
      <c r="M6" s="122"/>
      <c r="N6" s="122"/>
      <c r="O6" s="122"/>
      <c r="P6" s="122"/>
      <c r="Q6" s="122"/>
      <c r="R6" s="122"/>
      <c r="S6" s="122"/>
      <c r="U6" s="122"/>
      <c r="V6" s="69"/>
      <c r="W6" s="69"/>
      <c r="X6" s="69"/>
    </row>
    <row r="7" spans="1:24">
      <c r="A7" s="123">
        <v>46081</v>
      </c>
      <c r="B7" s="69" t="s">
        <v>17</v>
      </c>
      <c r="C7" s="69"/>
      <c r="D7" s="69"/>
      <c r="E7" s="122">
        <v>39100</v>
      </c>
      <c r="F7" s="122"/>
      <c r="G7" s="122">
        <f>15000+2250+4000+600+15000+2250</f>
        <v>39100</v>
      </c>
      <c r="H7" s="122"/>
      <c r="I7" s="122">
        <f t="shared" si="0"/>
        <v>39100</v>
      </c>
    </row>
    <row r="8" spans="1:24">
      <c r="A8" s="69"/>
      <c r="B8" s="69"/>
      <c r="C8" s="69"/>
      <c r="D8" s="69"/>
      <c r="E8" s="122"/>
      <c r="F8" s="122"/>
      <c r="G8" s="122"/>
      <c r="H8" s="122"/>
      <c r="I8" s="122">
        <f t="shared" si="0"/>
        <v>0</v>
      </c>
    </row>
    <row r="9" spans="1:24" s="1" customFormat="1">
      <c r="A9" s="141"/>
      <c r="B9" s="141" t="s">
        <v>5</v>
      </c>
      <c r="C9" s="141"/>
      <c r="D9" s="141"/>
      <c r="E9" s="151">
        <f>SUM(E3:E8)</f>
        <v>10849100</v>
      </c>
      <c r="F9" s="151">
        <f t="shared" ref="F9:I9" si="1">SUM(F3:F8)</f>
        <v>8310000</v>
      </c>
      <c r="G9" s="151">
        <f t="shared" si="1"/>
        <v>39100</v>
      </c>
      <c r="H9" s="151">
        <f t="shared" si="1"/>
        <v>2500000</v>
      </c>
      <c r="I9" s="151">
        <f t="shared" si="1"/>
        <v>10849100</v>
      </c>
    </row>
  </sheetData>
  <mergeCells count="1">
    <mergeCell ref="B1:E1"/>
  </mergeCells>
  <pageMargins left="0" right="0" top="0.74803149606299202" bottom="0.74803149606299202" header="0.31496062992126" footer="0.31496062992126"/>
  <pageSetup scale="95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F27"/>
  <sheetViews>
    <sheetView workbookViewId="0">
      <pane ySplit="3" topLeftCell="A4" activePane="bottomLeft" state="frozen"/>
      <selection pane="bottomLeft" activeCell="B4" sqref="B4:B23"/>
    </sheetView>
  </sheetViews>
  <sheetFormatPr defaultColWidth="9" defaultRowHeight="25.5" customHeight="1"/>
  <cols>
    <col min="1" max="1" width="12.85546875" customWidth="1"/>
    <col min="2" max="2" width="25.140625" customWidth="1"/>
    <col min="3" max="4" width="8.140625" customWidth="1"/>
    <col min="5" max="5" width="13.5703125" style="126" customWidth="1"/>
    <col min="6" max="6" width="10" style="126" customWidth="1"/>
    <col min="7" max="7" width="10.140625" style="126" customWidth="1"/>
    <col min="8" max="8" width="11.85546875" style="126" customWidth="1"/>
    <col min="9" max="9" width="11" style="126" customWidth="1"/>
    <col min="10" max="10" width="12.7109375" style="126" customWidth="1"/>
    <col min="11" max="11" width="12.42578125" style="126" customWidth="1"/>
    <col min="12" max="12" width="9.42578125" style="126" customWidth="1"/>
    <col min="13" max="13" width="13.7109375" style="126" customWidth="1"/>
    <col min="14" max="14" width="13.42578125" style="126" customWidth="1"/>
    <col min="15" max="15" width="10.85546875" style="126" customWidth="1"/>
    <col min="16" max="16" width="12.42578125" style="126" customWidth="1"/>
    <col min="17" max="17" width="14" style="126" customWidth="1"/>
    <col min="18" max="18" width="13.140625" style="126" customWidth="1"/>
    <col min="19" max="19" width="10.85546875" style="126" hidden="1" customWidth="1"/>
    <col min="20" max="22" width="11.85546875" style="126" customWidth="1"/>
    <col min="23" max="24" width="14.140625" style="126" customWidth="1"/>
    <col min="25" max="25" width="10.85546875" style="126" customWidth="1"/>
    <col min="26" max="26" width="10.85546875" style="126" hidden="1" customWidth="1"/>
    <col min="27" max="27" width="15.140625" style="126" customWidth="1"/>
    <col min="28" max="31" width="8.7109375" style="126"/>
  </cols>
  <sheetData>
    <row r="2" spans="1:58" s="115" customFormat="1" ht="25.5" customHeight="1">
      <c r="B2" s="341" t="s">
        <v>441</v>
      </c>
      <c r="C2" s="341"/>
      <c r="D2" s="341"/>
      <c r="E2" s="341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</row>
    <row r="3" spans="1:58" s="124" customFormat="1" ht="36.950000000000003" customHeight="1">
      <c r="A3" s="127" t="s">
        <v>1</v>
      </c>
      <c r="B3" s="127" t="s">
        <v>2</v>
      </c>
      <c r="C3" s="127" t="s">
        <v>3</v>
      </c>
      <c r="D3" s="127" t="s">
        <v>4</v>
      </c>
      <c r="E3" s="128" t="s">
        <v>5</v>
      </c>
      <c r="F3" s="128" t="s">
        <v>132</v>
      </c>
      <c r="G3" s="128" t="s">
        <v>14</v>
      </c>
      <c r="H3" s="128" t="s">
        <v>38</v>
      </c>
      <c r="I3" s="128" t="s">
        <v>58</v>
      </c>
      <c r="J3" s="128" t="s">
        <v>391</v>
      </c>
      <c r="K3" s="128" t="s">
        <v>52</v>
      </c>
      <c r="L3" s="128" t="s">
        <v>442</v>
      </c>
      <c r="M3" s="128" t="s">
        <v>315</v>
      </c>
      <c r="N3" s="128" t="s">
        <v>443</v>
      </c>
      <c r="O3" s="128" t="s">
        <v>444</v>
      </c>
      <c r="P3" s="128" t="s">
        <v>138</v>
      </c>
      <c r="Q3" s="128" t="s">
        <v>444</v>
      </c>
      <c r="R3" s="128" t="s">
        <v>162</v>
      </c>
      <c r="S3" s="128" t="s">
        <v>143</v>
      </c>
      <c r="T3" s="128" t="s">
        <v>143</v>
      </c>
      <c r="U3" s="128" t="s">
        <v>69</v>
      </c>
      <c r="V3" s="128" t="s">
        <v>10</v>
      </c>
      <c r="W3" s="128" t="s">
        <v>226</v>
      </c>
      <c r="X3" s="128" t="s">
        <v>445</v>
      </c>
      <c r="Y3" s="128" t="s">
        <v>17</v>
      </c>
      <c r="Z3" s="128"/>
      <c r="AA3" s="128" t="s">
        <v>5</v>
      </c>
      <c r="AB3" s="129"/>
      <c r="AC3" s="129"/>
      <c r="AD3" s="129"/>
      <c r="AE3" s="129"/>
    </row>
    <row r="4" spans="1:58" ht="25.5" customHeight="1">
      <c r="A4" s="123">
        <v>46084</v>
      </c>
      <c r="B4" s="130" t="s">
        <v>190</v>
      </c>
      <c r="C4" s="69">
        <v>1803</v>
      </c>
      <c r="D4" s="69"/>
      <c r="E4" s="131">
        <v>51700000</v>
      </c>
      <c r="F4" s="131"/>
      <c r="G4" s="131"/>
      <c r="H4" s="131"/>
      <c r="I4" s="132"/>
      <c r="J4" s="132"/>
      <c r="K4" s="131"/>
      <c r="L4" s="132"/>
      <c r="M4" s="132"/>
      <c r="N4" s="132"/>
      <c r="O4" s="132"/>
      <c r="P4" s="132"/>
      <c r="Q4" s="132"/>
      <c r="R4" s="132"/>
      <c r="S4" s="132"/>
      <c r="T4" s="132">
        <v>27500000</v>
      </c>
      <c r="U4" s="132">
        <v>27500000</v>
      </c>
      <c r="V4" s="132"/>
      <c r="W4" s="132"/>
      <c r="X4" s="132"/>
      <c r="Y4" s="132"/>
      <c r="Z4" s="132"/>
      <c r="AA4" s="131">
        <f>F4+G4+H4+I4+J4+K4+L4+M4+N4+O4+P4+Q4+R4+T4+V4+W4+Y4+X4+U4</f>
        <v>55000000</v>
      </c>
    </row>
    <row r="5" spans="1:58" ht="25.5" customHeight="1">
      <c r="A5" s="123">
        <v>46085</v>
      </c>
      <c r="B5" s="130" t="s">
        <v>88</v>
      </c>
      <c r="C5" s="69">
        <v>1805</v>
      </c>
      <c r="D5" s="69"/>
      <c r="E5" s="131">
        <v>17940000</v>
      </c>
      <c r="F5" s="131"/>
      <c r="G5" s="131"/>
      <c r="H5" s="131"/>
      <c r="I5" s="132"/>
      <c r="J5" s="132"/>
      <c r="K5" s="131"/>
      <c r="L5" s="132"/>
      <c r="M5" s="132">
        <v>17940000</v>
      </c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1">
        <f t="shared" ref="AA5:AA23" si="0">F5+G5+H5+I5+J5+K5+L5+M5+N5+O5+P5+Q5+R5+T5+V5+W5+Y5+X5</f>
        <v>17940000</v>
      </c>
    </row>
    <row r="6" spans="1:58" ht="25.5" customHeight="1">
      <c r="A6" s="123">
        <v>46086</v>
      </c>
      <c r="B6" s="130" t="s">
        <v>446</v>
      </c>
      <c r="C6" s="69">
        <v>1798</v>
      </c>
      <c r="D6" s="69"/>
      <c r="E6" s="131">
        <v>3000000</v>
      </c>
      <c r="F6" s="131"/>
      <c r="G6" s="131"/>
      <c r="H6" s="131"/>
      <c r="I6" s="132"/>
      <c r="J6" s="132"/>
      <c r="K6" s="131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>
        <v>3000000</v>
      </c>
      <c r="X6" s="132"/>
      <c r="Y6" s="132"/>
      <c r="Z6" s="132"/>
      <c r="AA6" s="131">
        <f t="shared" si="0"/>
        <v>3000000</v>
      </c>
    </row>
    <row r="7" spans="1:58" ht="25.5" customHeight="1">
      <c r="A7" s="133">
        <v>46085</v>
      </c>
      <c r="B7" s="130" t="s">
        <v>447</v>
      </c>
      <c r="C7" s="69">
        <v>1790</v>
      </c>
      <c r="D7" s="69">
        <v>11934</v>
      </c>
      <c r="E7" s="131">
        <v>10000000</v>
      </c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  <c r="AA7" s="131">
        <f t="shared" si="0"/>
        <v>0</v>
      </c>
    </row>
    <row r="8" spans="1:58" ht="25.5" customHeight="1">
      <c r="A8" s="133">
        <v>46086</v>
      </c>
      <c r="B8" s="130" t="s">
        <v>447</v>
      </c>
      <c r="C8" s="69">
        <v>1791</v>
      </c>
      <c r="D8" s="69">
        <v>11934</v>
      </c>
      <c r="E8" s="131">
        <v>10000000</v>
      </c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  <c r="AA8" s="131">
        <f t="shared" si="0"/>
        <v>0</v>
      </c>
    </row>
    <row r="9" spans="1:58" ht="25.5" customHeight="1">
      <c r="A9" s="133">
        <v>46087</v>
      </c>
      <c r="B9" s="130" t="s">
        <v>447</v>
      </c>
      <c r="C9" s="69">
        <v>1792</v>
      </c>
      <c r="D9" s="69">
        <v>11934</v>
      </c>
      <c r="E9" s="131">
        <v>4252000</v>
      </c>
      <c r="F9" s="131"/>
      <c r="G9" s="131"/>
      <c r="H9" s="131"/>
      <c r="I9" s="131"/>
      <c r="J9" s="131"/>
      <c r="K9" s="131"/>
      <c r="L9" s="131"/>
      <c r="M9" s="131">
        <v>25800000</v>
      </c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>
        <f t="shared" si="0"/>
        <v>25800000</v>
      </c>
    </row>
    <row r="10" spans="1:58" ht="32.450000000000003" customHeight="1">
      <c r="A10" s="123">
        <v>46085</v>
      </c>
      <c r="B10" s="130" t="s">
        <v>448</v>
      </c>
      <c r="C10" s="69">
        <v>1787</v>
      </c>
      <c r="D10" s="69">
        <v>11937</v>
      </c>
      <c r="E10" s="131">
        <v>10000000</v>
      </c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>
        <f t="shared" si="0"/>
        <v>0</v>
      </c>
    </row>
    <row r="11" spans="1:58" ht="33" customHeight="1">
      <c r="A11" s="123">
        <v>46085</v>
      </c>
      <c r="B11" s="130" t="s">
        <v>448</v>
      </c>
      <c r="C11" s="69">
        <v>1786</v>
      </c>
      <c r="D11" s="69">
        <v>11937</v>
      </c>
      <c r="E11" s="131">
        <v>10000000</v>
      </c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>
        <f t="shared" si="0"/>
        <v>0</v>
      </c>
    </row>
    <row r="12" spans="1:58" ht="35.450000000000003" customHeight="1">
      <c r="A12" s="123">
        <v>46085</v>
      </c>
      <c r="B12" s="130" t="s">
        <v>448</v>
      </c>
      <c r="C12" s="69">
        <v>1789</v>
      </c>
      <c r="D12" s="69">
        <v>11937</v>
      </c>
      <c r="E12" s="131">
        <v>2499840</v>
      </c>
      <c r="F12" s="131"/>
      <c r="G12" s="131"/>
      <c r="H12" s="131"/>
      <c r="I12" s="131"/>
      <c r="J12" s="131"/>
      <c r="K12" s="131"/>
      <c r="L12" s="131"/>
      <c r="M12" s="131"/>
      <c r="N12" s="131">
        <v>23936000</v>
      </c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>
        <f t="shared" si="0"/>
        <v>23936000</v>
      </c>
    </row>
    <row r="13" spans="1:58" ht="25.5" customHeight="1">
      <c r="A13" s="123">
        <v>46083</v>
      </c>
      <c r="B13" s="130" t="s">
        <v>375</v>
      </c>
      <c r="C13" s="69">
        <v>1796</v>
      </c>
      <c r="D13" s="69">
        <v>9520</v>
      </c>
      <c r="E13" s="131">
        <v>1870900</v>
      </c>
      <c r="F13" s="131"/>
      <c r="G13" s="131"/>
      <c r="H13" s="131"/>
      <c r="I13" s="131"/>
      <c r="J13" s="131"/>
      <c r="K13" s="131">
        <v>1870900</v>
      </c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  <c r="AA13" s="131">
        <f t="shared" si="0"/>
        <v>1870900</v>
      </c>
    </row>
    <row r="14" spans="1:58" ht="25.5" customHeight="1">
      <c r="A14" s="123">
        <v>46084</v>
      </c>
      <c r="B14" s="69" t="s">
        <v>168</v>
      </c>
      <c r="C14" s="69">
        <v>1793</v>
      </c>
      <c r="D14" s="130" t="s">
        <v>449</v>
      </c>
      <c r="E14" s="131">
        <v>10000000</v>
      </c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  <c r="AA14" s="131">
        <f t="shared" si="0"/>
        <v>0</v>
      </c>
    </row>
    <row r="15" spans="1:58" ht="25.5" customHeight="1">
      <c r="A15" s="123">
        <v>46084</v>
      </c>
      <c r="B15" s="69" t="s">
        <v>168</v>
      </c>
      <c r="C15" s="69">
        <v>1794</v>
      </c>
      <c r="D15" s="130" t="s">
        <v>449</v>
      </c>
      <c r="E15" s="131">
        <v>8630800</v>
      </c>
      <c r="F15" s="131"/>
      <c r="G15" s="131"/>
      <c r="H15" s="131"/>
      <c r="I15" s="131"/>
      <c r="J15" s="131"/>
      <c r="K15" s="131"/>
      <c r="L15" s="131"/>
      <c r="M15" s="131"/>
      <c r="N15" s="131">
        <f>2120000+6300000</f>
        <v>8420000</v>
      </c>
      <c r="O15" s="131"/>
      <c r="P15" s="131">
        <f>10200000</f>
        <v>10200000</v>
      </c>
      <c r="Q15" s="131"/>
      <c r="R15" s="131">
        <f>1200000</f>
        <v>1200000</v>
      </c>
      <c r="S15" s="131"/>
      <c r="T15" s="131"/>
      <c r="U15" s="131"/>
      <c r="V15" s="131"/>
      <c r="W15" s="131"/>
      <c r="X15" s="131"/>
      <c r="Y15" s="131"/>
      <c r="Z15" s="131"/>
      <c r="AA15" s="131">
        <f t="shared" si="0"/>
        <v>19820000</v>
      </c>
    </row>
    <row r="16" spans="1:58" ht="25.5" customHeight="1">
      <c r="A16" s="134">
        <v>46084</v>
      </c>
      <c r="B16" s="130" t="s">
        <v>105</v>
      </c>
      <c r="C16" s="69">
        <v>1795</v>
      </c>
      <c r="D16" s="69">
        <v>9517</v>
      </c>
      <c r="E16" s="131">
        <v>1560000</v>
      </c>
      <c r="F16" s="131"/>
      <c r="G16" s="131"/>
      <c r="H16" s="131"/>
      <c r="I16" s="131"/>
      <c r="J16" s="131"/>
      <c r="K16" s="132">
        <v>1560000</v>
      </c>
      <c r="L16" s="132"/>
      <c r="M16" s="131"/>
      <c r="N16" s="132"/>
      <c r="O16" s="131"/>
      <c r="P16" s="131"/>
      <c r="Q16" s="131"/>
      <c r="R16" s="132"/>
      <c r="S16" s="132"/>
      <c r="T16" s="132"/>
      <c r="U16" s="132"/>
      <c r="V16" s="132"/>
      <c r="W16" s="132"/>
      <c r="X16" s="132"/>
      <c r="Y16" s="132"/>
      <c r="Z16" s="132"/>
      <c r="AA16" s="131">
        <f t="shared" si="0"/>
        <v>1560000</v>
      </c>
      <c r="AB16" s="131"/>
      <c r="AC16" s="131"/>
      <c r="AD16" s="131"/>
      <c r="AE16" s="131"/>
      <c r="AF16" s="132"/>
      <c r="AG16" s="131"/>
      <c r="AH16" s="131"/>
      <c r="AI16" s="131"/>
      <c r="AJ16" s="131"/>
      <c r="AK16" s="131"/>
      <c r="AL16" s="132"/>
      <c r="AM16" s="132"/>
      <c r="AN16" s="131"/>
      <c r="AO16" s="131"/>
      <c r="AP16" s="131"/>
      <c r="AQ16" s="126"/>
      <c r="AR16" s="126"/>
      <c r="AS16" s="126"/>
      <c r="AT16" s="126"/>
      <c r="AU16" s="126"/>
      <c r="AV16" s="126"/>
      <c r="AW16" s="126"/>
      <c r="AX16" s="126"/>
      <c r="AY16" s="126"/>
      <c r="AZ16" s="126"/>
      <c r="BA16" s="126"/>
      <c r="BB16" s="126"/>
      <c r="BC16" s="126"/>
      <c r="BD16" s="126"/>
      <c r="BE16" s="126"/>
      <c r="BF16" s="126"/>
    </row>
    <row r="17" spans="1:31" ht="25.5" customHeight="1">
      <c r="A17" s="123">
        <v>46085</v>
      </c>
      <c r="B17" s="130" t="s">
        <v>369</v>
      </c>
      <c r="C17" s="69">
        <v>1804</v>
      </c>
      <c r="D17" s="130">
        <v>9526</v>
      </c>
      <c r="E17" s="131">
        <v>64100000</v>
      </c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>
        <v>68200000</v>
      </c>
      <c r="W17" s="131"/>
      <c r="X17" s="131"/>
      <c r="Y17" s="131"/>
      <c r="Z17" s="131"/>
      <c r="AA17" s="131">
        <f t="shared" si="0"/>
        <v>68200000</v>
      </c>
    </row>
    <row r="18" spans="1:31" ht="34.5" customHeight="1">
      <c r="A18" s="135">
        <v>46091</v>
      </c>
      <c r="B18" s="130" t="s">
        <v>450</v>
      </c>
      <c r="C18" s="69">
        <v>1799</v>
      </c>
      <c r="D18" s="69">
        <v>9572</v>
      </c>
      <c r="E18" s="131">
        <v>500000</v>
      </c>
      <c r="F18" s="131"/>
      <c r="G18" s="131"/>
      <c r="H18" s="131"/>
      <c r="I18" s="131"/>
      <c r="J18" s="131"/>
      <c r="K18" s="131"/>
      <c r="L18" s="131"/>
      <c r="M18" s="131"/>
      <c r="N18" s="131"/>
      <c r="O18" s="131">
        <v>500000</v>
      </c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  <c r="AA18" s="131">
        <f t="shared" si="0"/>
        <v>500000</v>
      </c>
    </row>
    <row r="19" spans="1:31" ht="25.5" customHeight="1">
      <c r="A19" s="135">
        <v>46091</v>
      </c>
      <c r="B19" s="69" t="s">
        <v>451</v>
      </c>
      <c r="C19" s="69">
        <v>1801</v>
      </c>
      <c r="D19" s="69">
        <v>9569</v>
      </c>
      <c r="E19" s="131">
        <v>800000</v>
      </c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>
        <v>800000</v>
      </c>
      <c r="R19" s="131"/>
      <c r="S19" s="131"/>
      <c r="T19" s="131"/>
      <c r="U19" s="131"/>
      <c r="V19" s="131"/>
      <c r="W19" s="131"/>
      <c r="X19" s="131"/>
      <c r="Y19" s="131"/>
      <c r="Z19" s="131"/>
      <c r="AA19" s="131">
        <f t="shared" si="0"/>
        <v>800000</v>
      </c>
    </row>
    <row r="20" spans="1:31" ht="25.5" customHeight="1">
      <c r="A20" s="135">
        <v>46090</v>
      </c>
      <c r="B20" s="69" t="s">
        <v>452</v>
      </c>
      <c r="C20" s="69">
        <v>1797</v>
      </c>
      <c r="D20" s="69">
        <v>9519</v>
      </c>
      <c r="E20" s="131">
        <v>2347100</v>
      </c>
      <c r="F20" s="131"/>
      <c r="G20" s="131"/>
      <c r="H20" s="131"/>
      <c r="I20" s="131"/>
      <c r="J20" s="131"/>
      <c r="K20" s="131">
        <v>2347100</v>
      </c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>
        <f t="shared" si="0"/>
        <v>2347100</v>
      </c>
    </row>
    <row r="21" spans="1:31" ht="28.5" customHeight="1">
      <c r="A21" s="135">
        <v>46091</v>
      </c>
      <c r="B21" s="130" t="s">
        <v>453</v>
      </c>
      <c r="C21" s="69">
        <v>1802</v>
      </c>
      <c r="D21" s="130">
        <v>9571</v>
      </c>
      <c r="E21" s="131">
        <v>700000</v>
      </c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>
        <v>700000</v>
      </c>
      <c r="R21" s="131"/>
      <c r="S21" s="131"/>
      <c r="T21" s="131"/>
      <c r="U21" s="131"/>
      <c r="V21" s="131"/>
      <c r="W21" s="131"/>
      <c r="X21" s="131"/>
      <c r="Y21" s="131"/>
      <c r="Z21" s="131"/>
      <c r="AA21" s="131">
        <f t="shared" si="0"/>
        <v>700000</v>
      </c>
    </row>
    <row r="22" spans="1:31" s="125" customFormat="1" ht="25.5" customHeight="1">
      <c r="A22" s="136">
        <v>46094</v>
      </c>
      <c r="B22" s="137" t="s">
        <v>73</v>
      </c>
      <c r="C22" s="137">
        <v>1807</v>
      </c>
      <c r="D22" s="138" t="s">
        <v>454</v>
      </c>
      <c r="E22" s="139">
        <v>17850000</v>
      </c>
      <c r="F22" s="139">
        <v>480000</v>
      </c>
      <c r="G22" s="139">
        <f>1020000+800000+1560000</f>
        <v>3380000</v>
      </c>
      <c r="H22" s="139">
        <f>1850000+200000</f>
        <v>2050000</v>
      </c>
      <c r="I22" s="139">
        <f>890000+560000+1240000</f>
        <v>2690000</v>
      </c>
      <c r="J22" s="139">
        <f>7000000</f>
        <v>7000000</v>
      </c>
      <c r="K22" s="139"/>
      <c r="L22" s="139">
        <f>750000</f>
        <v>750000</v>
      </c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>
        <v>1500000</v>
      </c>
      <c r="Y22" s="139"/>
      <c r="Z22" s="139"/>
      <c r="AA22" s="131">
        <f t="shared" si="0"/>
        <v>17850000</v>
      </c>
      <c r="AB22" s="140"/>
      <c r="AC22" s="140"/>
      <c r="AD22" s="140"/>
      <c r="AE22" s="140"/>
    </row>
    <row r="23" spans="1:31" ht="25.5" customHeight="1">
      <c r="A23" s="123"/>
      <c r="B23" s="69" t="s">
        <v>17</v>
      </c>
      <c r="C23" s="69"/>
      <c r="D23" s="130"/>
      <c r="E23" s="131">
        <v>196075</v>
      </c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>
        <v>196075</v>
      </c>
      <c r="Z23" s="131"/>
      <c r="AA23" s="131">
        <f t="shared" si="0"/>
        <v>196075</v>
      </c>
    </row>
    <row r="24" spans="1:31" s="1" customFormat="1" ht="25.5" customHeight="1">
      <c r="A24" s="141"/>
      <c r="B24" s="141" t="s">
        <v>5</v>
      </c>
      <c r="C24" s="141"/>
      <c r="D24" s="141"/>
      <c r="E24" s="142">
        <f>SUM(E4:E23)</f>
        <v>227946715</v>
      </c>
      <c r="F24" s="142">
        <f t="shared" ref="F24:AA24" si="1">SUM(F4:F23)</f>
        <v>480000</v>
      </c>
      <c r="G24" s="142">
        <f t="shared" si="1"/>
        <v>3380000</v>
      </c>
      <c r="H24" s="142">
        <f t="shared" si="1"/>
        <v>2050000</v>
      </c>
      <c r="I24" s="142">
        <f t="shared" si="1"/>
        <v>2690000</v>
      </c>
      <c r="J24" s="142">
        <f t="shared" si="1"/>
        <v>7000000</v>
      </c>
      <c r="K24" s="142">
        <f t="shared" si="1"/>
        <v>5778000</v>
      </c>
      <c r="L24" s="142">
        <f t="shared" si="1"/>
        <v>750000</v>
      </c>
      <c r="M24" s="142">
        <f t="shared" si="1"/>
        <v>43740000</v>
      </c>
      <c r="N24" s="142">
        <f t="shared" si="1"/>
        <v>32356000</v>
      </c>
      <c r="O24" s="142">
        <f t="shared" si="1"/>
        <v>500000</v>
      </c>
      <c r="P24" s="142">
        <f t="shared" si="1"/>
        <v>10200000</v>
      </c>
      <c r="Q24" s="142">
        <f t="shared" si="1"/>
        <v>1500000</v>
      </c>
      <c r="R24" s="142">
        <f t="shared" si="1"/>
        <v>1200000</v>
      </c>
      <c r="S24" s="142">
        <f t="shared" si="1"/>
        <v>0</v>
      </c>
      <c r="T24" s="142">
        <f t="shared" si="1"/>
        <v>27500000</v>
      </c>
      <c r="U24" s="142">
        <f t="shared" si="1"/>
        <v>27500000</v>
      </c>
      <c r="V24" s="142">
        <f t="shared" si="1"/>
        <v>68200000</v>
      </c>
      <c r="W24" s="142">
        <f t="shared" si="1"/>
        <v>3000000</v>
      </c>
      <c r="X24" s="142">
        <f t="shared" si="1"/>
        <v>1500000</v>
      </c>
      <c r="Y24" s="142">
        <f t="shared" si="1"/>
        <v>196075</v>
      </c>
      <c r="Z24" s="142">
        <f t="shared" si="1"/>
        <v>0</v>
      </c>
      <c r="AA24" s="142">
        <f t="shared" si="1"/>
        <v>239520075</v>
      </c>
      <c r="AB24" s="143"/>
      <c r="AC24" s="143"/>
      <c r="AD24" s="143"/>
      <c r="AE24" s="143"/>
    </row>
    <row r="25" spans="1:31" ht="25.5" customHeight="1">
      <c r="AA25" s="131">
        <f>F25+G25+H25+I25+J25+K25+L25+M25+N25+O25+P25+Q25+R25+S25+T25+V25+W25+Y25+Z25+0</f>
        <v>0</v>
      </c>
    </row>
    <row r="26" spans="1:31" ht="25.5" customHeight="1">
      <c r="AA26" s="131">
        <f>F26+G26+H26+I26+J26+K26+L26+M26+N26+O26+P26+Q26+R26+S26+T26+V26+W26+Y26+Z26+0</f>
        <v>0</v>
      </c>
    </row>
    <row r="27" spans="1:31" ht="25.5" customHeight="1">
      <c r="AA27" s="131">
        <f>F27+G27+H27+I27+J27+K27+L27+M27+N27+O27+P27+Q27+R27+S27+T27+V27+W27+Y27+Z27+0</f>
        <v>0</v>
      </c>
    </row>
  </sheetData>
  <mergeCells count="1">
    <mergeCell ref="B2:E2"/>
  </mergeCells>
  <pageMargins left="0" right="0" top="0.35433070866141703" bottom="0.35433070866141703" header="0.31496062992126" footer="0.31496062992126"/>
  <pageSetup paperSize="9" scale="75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"/>
  <sheetViews>
    <sheetView topLeftCell="A2" workbookViewId="0">
      <pane ySplit="2" topLeftCell="A4" activePane="bottomLeft" state="frozen"/>
      <selection pane="bottomLeft" activeCell="B4" sqref="B4"/>
    </sheetView>
  </sheetViews>
  <sheetFormatPr defaultColWidth="9" defaultRowHeight="15"/>
  <cols>
    <col min="1" max="1" width="14.28515625" customWidth="1"/>
    <col min="2" max="2" width="26" customWidth="1"/>
    <col min="5" max="5" width="8.7109375" style="116"/>
    <col min="6" max="6" width="13.42578125" style="116" customWidth="1"/>
    <col min="7" max="7" width="8.7109375" style="116"/>
  </cols>
  <sheetData>
    <row r="1" spans="1:31" hidden="1"/>
    <row r="2" spans="1:31" s="115" customFormat="1" ht="21" customHeight="1">
      <c r="B2" s="341" t="s">
        <v>455</v>
      </c>
      <c r="C2" s="341"/>
      <c r="D2" s="341"/>
      <c r="E2" s="341"/>
      <c r="F2" s="117"/>
      <c r="G2" s="117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</row>
    <row r="3" spans="1:31" ht="30">
      <c r="A3" s="119" t="s">
        <v>1</v>
      </c>
      <c r="B3" s="119" t="s">
        <v>2</v>
      </c>
      <c r="C3" s="119" t="s">
        <v>3</v>
      </c>
      <c r="D3" s="119" t="s">
        <v>4</v>
      </c>
      <c r="E3" s="120" t="s">
        <v>5</v>
      </c>
      <c r="F3" s="121" t="s">
        <v>17</v>
      </c>
      <c r="G3" s="122"/>
    </row>
    <row r="4" spans="1:31">
      <c r="A4" s="123">
        <v>46142</v>
      </c>
      <c r="B4" s="69" t="s">
        <v>17</v>
      </c>
      <c r="C4" s="69"/>
      <c r="D4" s="69"/>
      <c r="E4" s="122">
        <f>4000+600+4600+120000+18000+4000+600+15000+2250</f>
        <v>169050</v>
      </c>
      <c r="F4" s="122">
        <v>169050</v>
      </c>
      <c r="G4" s="122"/>
    </row>
    <row r="5" spans="1:31">
      <c r="A5" s="69"/>
      <c r="B5" s="69"/>
      <c r="C5" s="69"/>
      <c r="D5" s="69"/>
      <c r="E5" s="122">
        <f>SUM(E4)</f>
        <v>169050</v>
      </c>
      <c r="F5" s="122">
        <f>SUM(F4)</f>
        <v>169050</v>
      </c>
      <c r="G5" s="122"/>
    </row>
    <row r="6" spans="1:31">
      <c r="A6" s="69"/>
      <c r="B6" s="69"/>
      <c r="C6" s="69"/>
      <c r="D6" s="69"/>
      <c r="E6" s="122"/>
      <c r="F6" s="122"/>
      <c r="G6" s="122"/>
    </row>
    <row r="7" spans="1:31">
      <c r="A7" s="69"/>
      <c r="B7" s="69"/>
      <c r="C7" s="69"/>
      <c r="D7" s="69"/>
      <c r="E7" s="122"/>
      <c r="F7" s="122"/>
      <c r="G7" s="122"/>
    </row>
  </sheetData>
  <mergeCells count="1">
    <mergeCell ref="B2:E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2" topLeftCell="A3" activePane="bottomLeft" state="frozen"/>
      <selection pane="bottomLeft" activeCell="B3" sqref="B3:B4"/>
    </sheetView>
  </sheetViews>
  <sheetFormatPr defaultColWidth="8.7109375" defaultRowHeight="14.25"/>
  <cols>
    <col min="1" max="1" width="11" style="36" customWidth="1"/>
    <col min="2" max="2" width="16.28515625" style="36" customWidth="1"/>
    <col min="3" max="4" width="8.85546875" style="36" customWidth="1"/>
    <col min="5" max="5" width="12.140625" style="43" customWidth="1"/>
    <col min="6" max="7" width="13" style="43" customWidth="1"/>
    <col min="8" max="8" width="13.28515625" style="43" customWidth="1"/>
    <col min="9" max="11" width="8.7109375" style="43"/>
    <col min="12" max="16384" width="8.7109375" style="36"/>
  </cols>
  <sheetData>
    <row r="1" spans="1:11">
      <c r="B1" s="36" t="s">
        <v>456</v>
      </c>
    </row>
    <row r="2" spans="1:11" s="22" customFormat="1" ht="39.6" customHeight="1">
      <c r="A2" s="77" t="s">
        <v>1</v>
      </c>
      <c r="B2" s="77" t="s">
        <v>2</v>
      </c>
      <c r="C2" s="77" t="s">
        <v>457</v>
      </c>
      <c r="D2" s="77" t="s">
        <v>458</v>
      </c>
      <c r="E2" s="79" t="s">
        <v>5</v>
      </c>
      <c r="F2" s="79" t="s">
        <v>459</v>
      </c>
      <c r="G2" s="79" t="s">
        <v>17</v>
      </c>
      <c r="H2" s="78" t="s">
        <v>5</v>
      </c>
      <c r="I2" s="78"/>
      <c r="J2" s="88"/>
      <c r="K2" s="88"/>
    </row>
    <row r="3" spans="1:11" ht="18.95" customHeight="1">
      <c r="A3" s="81">
        <v>46162</v>
      </c>
      <c r="B3" s="80" t="s">
        <v>84</v>
      </c>
      <c r="C3" s="80">
        <v>1809</v>
      </c>
      <c r="D3" s="80">
        <v>9929</v>
      </c>
      <c r="E3" s="82">
        <v>30000000</v>
      </c>
      <c r="F3" s="82">
        <v>30000000</v>
      </c>
      <c r="G3" s="82"/>
      <c r="H3" s="82">
        <f>F3</f>
        <v>30000000</v>
      </c>
      <c r="I3" s="82"/>
    </row>
    <row r="4" spans="1:11" ht="18.95" customHeight="1">
      <c r="A4" s="80"/>
      <c r="B4" s="80" t="s">
        <v>17</v>
      </c>
      <c r="C4" s="80"/>
      <c r="D4" s="80"/>
      <c r="E4" s="82"/>
      <c r="F4" s="82">
        <v>0</v>
      </c>
      <c r="G4" s="82">
        <f>4600*3+15000+2250</f>
        <v>31050</v>
      </c>
      <c r="H4" s="82"/>
      <c r="I4" s="82"/>
    </row>
    <row r="5" spans="1:11" s="61" customFormat="1" ht="18.95" customHeight="1">
      <c r="A5" s="62"/>
      <c r="B5" s="62" t="s">
        <v>5</v>
      </c>
      <c r="C5" s="62"/>
      <c r="D5" s="62"/>
      <c r="E5" s="67"/>
      <c r="F5" s="67">
        <f>SUM(F3:F4)</f>
        <v>30000000</v>
      </c>
      <c r="G5" s="67">
        <f t="shared" ref="G5:H5" si="0">SUM(G3:G4)</f>
        <v>31050</v>
      </c>
      <c r="H5" s="67">
        <f t="shared" si="0"/>
        <v>30000000</v>
      </c>
      <c r="I5" s="67"/>
      <c r="J5" s="68"/>
      <c r="K5" s="68"/>
    </row>
    <row r="6" spans="1:11" ht="18.95" customHeight="1">
      <c r="A6" s="80"/>
      <c r="B6" s="80"/>
      <c r="C6" s="80"/>
      <c r="D6" s="80"/>
      <c r="E6" s="82"/>
      <c r="F6" s="82"/>
      <c r="G6" s="82"/>
      <c r="H6" s="82"/>
      <c r="I6" s="8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12"/>
  <sheetViews>
    <sheetView workbookViewId="0">
      <pane ySplit="2" topLeftCell="A3" activePane="bottomLeft" state="frozen"/>
      <selection pane="bottomLeft" activeCell="B3" sqref="B3:B9"/>
    </sheetView>
  </sheetViews>
  <sheetFormatPr defaultColWidth="8.7109375" defaultRowHeight="11.25"/>
  <cols>
    <col min="1" max="1" width="9.5703125" style="94" customWidth="1"/>
    <col min="2" max="2" width="19.140625" style="94" customWidth="1"/>
    <col min="3" max="4" width="8.7109375" style="94"/>
    <col min="5" max="5" width="13.140625" style="95" customWidth="1"/>
    <col min="6" max="6" width="11.42578125" style="95" customWidth="1"/>
    <col min="7" max="7" width="13.140625" style="95" customWidth="1"/>
    <col min="8" max="8" width="11.5703125" style="95" customWidth="1"/>
    <col min="9" max="9" width="12.5703125" style="95" customWidth="1"/>
    <col min="10" max="11" width="13.28515625" style="95" customWidth="1"/>
    <col min="12" max="12" width="16.42578125" style="95" customWidth="1"/>
    <col min="13" max="16" width="8.7109375" style="95"/>
    <col min="17" max="16384" width="8.7109375" style="94"/>
  </cols>
  <sheetData>
    <row r="1" spans="1:81" s="89" customFormat="1" ht="13.5">
      <c r="B1" s="89" t="s">
        <v>460</v>
      </c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</row>
    <row r="2" spans="1:81" s="90" customFormat="1" ht="38.1" customHeight="1">
      <c r="A2" s="97" t="s">
        <v>1</v>
      </c>
      <c r="B2" s="97" t="s">
        <v>2</v>
      </c>
      <c r="C2" s="97" t="s">
        <v>457</v>
      </c>
      <c r="D2" s="97" t="s">
        <v>4</v>
      </c>
      <c r="E2" s="98" t="s">
        <v>5</v>
      </c>
      <c r="F2" s="98" t="s">
        <v>37</v>
      </c>
      <c r="G2" s="98" t="s">
        <v>58</v>
      </c>
      <c r="H2" s="98" t="s">
        <v>461</v>
      </c>
      <c r="I2" s="98" t="s">
        <v>64</v>
      </c>
      <c r="J2" s="98" t="s">
        <v>459</v>
      </c>
      <c r="K2" s="98" t="s">
        <v>17</v>
      </c>
      <c r="L2" s="98" t="s">
        <v>5</v>
      </c>
      <c r="M2" s="98"/>
      <c r="N2" s="98"/>
      <c r="O2" s="99"/>
      <c r="P2" s="99"/>
    </row>
    <row r="3" spans="1:81" s="91" customFormat="1" ht="10.5" customHeight="1">
      <c r="A3" s="100">
        <v>46182</v>
      </c>
      <c r="B3" s="101" t="s">
        <v>93</v>
      </c>
      <c r="C3" s="101">
        <v>1813</v>
      </c>
      <c r="D3" s="101">
        <v>10640</v>
      </c>
      <c r="E3" s="102">
        <v>8726000</v>
      </c>
      <c r="F3" s="102"/>
      <c r="G3" s="102">
        <v>8726000</v>
      </c>
      <c r="H3" s="102"/>
      <c r="I3" s="102"/>
      <c r="J3" s="102"/>
      <c r="K3" s="102"/>
      <c r="L3" s="102">
        <f>G3+H3+I3+J3</f>
        <v>8726000</v>
      </c>
      <c r="M3" s="102"/>
      <c r="N3" s="102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</row>
    <row r="4" spans="1:81" s="91" customFormat="1">
      <c r="A4" s="100">
        <v>46188</v>
      </c>
      <c r="B4" s="101" t="s">
        <v>123</v>
      </c>
      <c r="C4" s="101">
        <v>1808</v>
      </c>
      <c r="D4" s="101">
        <v>10537</v>
      </c>
      <c r="E4" s="102">
        <v>2987320</v>
      </c>
      <c r="F4" s="102">
        <v>190600</v>
      </c>
      <c r="G4" s="102"/>
      <c r="H4" s="102"/>
      <c r="I4" s="102"/>
      <c r="J4" s="102"/>
      <c r="K4" s="102"/>
      <c r="L4" s="102">
        <f t="shared" ref="L4:L8" si="0">G4+H4+I4+J4</f>
        <v>0</v>
      </c>
      <c r="M4" s="102"/>
      <c r="N4" s="102"/>
      <c r="O4" s="104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2"/>
      <c r="AQ4" s="102"/>
      <c r="AR4" s="102"/>
      <c r="AS4" s="102"/>
      <c r="AT4" s="102"/>
      <c r="AU4" s="102">
        <v>2987320</v>
      </c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/>
      <c r="BK4" s="102"/>
      <c r="BL4" s="102"/>
      <c r="BM4" s="103"/>
      <c r="BN4" s="103"/>
      <c r="BO4" s="103"/>
      <c r="BP4" s="103"/>
      <c r="BQ4" s="103"/>
      <c r="BR4" s="103"/>
      <c r="BS4" s="103"/>
      <c r="BT4" s="103"/>
      <c r="BU4" s="103"/>
      <c r="BV4" s="103"/>
    </row>
    <row r="5" spans="1:81" s="91" customFormat="1">
      <c r="A5" s="100">
        <v>46198</v>
      </c>
      <c r="B5" s="101" t="s">
        <v>370</v>
      </c>
      <c r="C5" s="101" t="s">
        <v>462</v>
      </c>
      <c r="D5" s="101">
        <v>10656</v>
      </c>
      <c r="E5" s="102">
        <v>56964000</v>
      </c>
      <c r="F5" s="102">
        <v>3636000</v>
      </c>
      <c r="G5" s="102"/>
      <c r="H5" s="102">
        <f>12600000+17500000</f>
        <v>30100000</v>
      </c>
      <c r="I5" s="102">
        <f>24500000+6000000</f>
        <v>30500000</v>
      </c>
      <c r="J5" s="102"/>
      <c r="K5" s="102"/>
      <c r="L5" s="102">
        <f t="shared" si="0"/>
        <v>60600000</v>
      </c>
      <c r="M5" s="102"/>
      <c r="N5" s="102"/>
      <c r="O5" s="104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  <c r="BM5" s="102"/>
      <c r="BN5" s="102"/>
      <c r="BO5" s="103"/>
      <c r="BP5" s="103"/>
      <c r="BQ5" s="103"/>
      <c r="BR5" s="103"/>
      <c r="BS5" s="103"/>
      <c r="BT5" s="103"/>
      <c r="BU5" s="103"/>
      <c r="BV5" s="103"/>
      <c r="BW5" s="103"/>
      <c r="BX5" s="103"/>
    </row>
    <row r="6" spans="1:81" s="91" customFormat="1" ht="22.5">
      <c r="A6" s="100">
        <v>46198</v>
      </c>
      <c r="B6" s="105" t="s">
        <v>463</v>
      </c>
      <c r="C6" s="101" t="s">
        <v>462</v>
      </c>
      <c r="D6" s="101">
        <v>10657</v>
      </c>
      <c r="E6" s="102">
        <v>27055080</v>
      </c>
      <c r="F6" s="102">
        <v>1726920</v>
      </c>
      <c r="G6" s="102"/>
      <c r="H6" s="102"/>
      <c r="I6" s="102">
        <v>27055080</v>
      </c>
      <c r="J6" s="102"/>
      <c r="K6" s="102"/>
      <c r="L6" s="102">
        <f t="shared" si="0"/>
        <v>27055080</v>
      </c>
      <c r="M6" s="102"/>
      <c r="N6" s="102"/>
      <c r="O6" s="104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  <c r="BJ6" s="102"/>
      <c r="BK6" s="102"/>
      <c r="BL6" s="102"/>
      <c r="BM6" s="102"/>
      <c r="BN6" s="102"/>
      <c r="BO6" s="102"/>
      <c r="BP6" s="102"/>
      <c r="BQ6" s="102"/>
      <c r="BR6" s="102"/>
      <c r="BS6" s="102"/>
      <c r="BT6" s="103"/>
      <c r="BU6" s="103"/>
      <c r="BV6" s="103"/>
      <c r="BW6" s="103"/>
      <c r="BX6" s="103"/>
      <c r="BY6" s="103"/>
      <c r="BZ6" s="103"/>
      <c r="CA6" s="103"/>
      <c r="CB6" s="103"/>
      <c r="CC6" s="103"/>
    </row>
    <row r="7" spans="1:81" s="92" customFormat="1">
      <c r="A7" s="106">
        <v>46183</v>
      </c>
      <c r="B7" s="107" t="s">
        <v>464</v>
      </c>
      <c r="C7" s="107">
        <v>1815</v>
      </c>
      <c r="D7" s="107">
        <v>10633</v>
      </c>
      <c r="E7" s="108">
        <v>9428500</v>
      </c>
      <c r="F7" s="108"/>
      <c r="G7" s="108"/>
      <c r="H7" s="108"/>
      <c r="I7" s="108"/>
      <c r="J7" s="108">
        <v>9428500</v>
      </c>
      <c r="K7" s="108"/>
      <c r="L7" s="102">
        <f t="shared" si="0"/>
        <v>9428500</v>
      </c>
      <c r="M7" s="108"/>
      <c r="N7" s="108"/>
      <c r="O7" s="109"/>
      <c r="P7" s="109"/>
    </row>
    <row r="8" spans="1:81" s="92" customFormat="1">
      <c r="A8" s="106">
        <v>46184</v>
      </c>
      <c r="B8" s="107" t="s">
        <v>87</v>
      </c>
      <c r="C8" s="107">
        <v>1816</v>
      </c>
      <c r="D8" s="107">
        <v>10634</v>
      </c>
      <c r="E8" s="108">
        <v>8571500</v>
      </c>
      <c r="F8" s="108"/>
      <c r="G8" s="108"/>
      <c r="H8" s="108"/>
      <c r="I8" s="108"/>
      <c r="J8" s="108">
        <v>8571500</v>
      </c>
      <c r="K8" s="108"/>
      <c r="L8" s="102">
        <f t="shared" si="0"/>
        <v>8571500</v>
      </c>
      <c r="M8" s="108"/>
      <c r="N8" s="108"/>
      <c r="O8" s="109"/>
      <c r="P8" s="109"/>
    </row>
    <row r="9" spans="1:81">
      <c r="A9" s="110"/>
      <c r="B9" s="110" t="s">
        <v>17</v>
      </c>
      <c r="C9" s="110"/>
      <c r="D9" s="110"/>
      <c r="E9" s="111">
        <v>23000</v>
      </c>
      <c r="F9" s="111"/>
      <c r="G9" s="111"/>
      <c r="H9" s="111"/>
      <c r="I9" s="111"/>
      <c r="J9" s="111"/>
      <c r="K9" s="111">
        <f>5750+15000+2250+0</f>
        <v>23000</v>
      </c>
      <c r="L9" s="60">
        <v>23000</v>
      </c>
      <c r="M9" s="111"/>
      <c r="N9" s="111"/>
    </row>
    <row r="10" spans="1:81" s="93" customFormat="1" ht="12">
      <c r="A10" s="112"/>
      <c r="B10" s="112" t="s">
        <v>5</v>
      </c>
      <c r="C10" s="112"/>
      <c r="D10" s="112"/>
      <c r="E10" s="113">
        <f>SUM(E3:E9)</f>
        <v>113755400</v>
      </c>
      <c r="F10" s="113">
        <f t="shared" ref="F10:L10" si="1">SUM(F3:F9)</f>
        <v>5553520</v>
      </c>
      <c r="G10" s="113">
        <f t="shared" si="1"/>
        <v>8726000</v>
      </c>
      <c r="H10" s="113">
        <f t="shared" si="1"/>
        <v>30100000</v>
      </c>
      <c r="I10" s="113">
        <f t="shared" si="1"/>
        <v>57555080</v>
      </c>
      <c r="J10" s="113">
        <f t="shared" si="1"/>
        <v>18000000</v>
      </c>
      <c r="K10" s="113">
        <f t="shared" si="1"/>
        <v>23000</v>
      </c>
      <c r="L10" s="113">
        <f t="shared" si="1"/>
        <v>114404080</v>
      </c>
      <c r="M10" s="113"/>
      <c r="N10" s="113"/>
      <c r="O10" s="114"/>
      <c r="P10" s="114"/>
    </row>
    <row r="11" spans="1:81">
      <c r="A11" s="110"/>
      <c r="B11" s="110"/>
      <c r="C11" s="110"/>
      <c r="D11" s="110"/>
      <c r="E11" s="111"/>
      <c r="F11" s="111"/>
      <c r="G11" s="111"/>
      <c r="H11" s="111"/>
      <c r="I11" s="111"/>
      <c r="J11" s="111"/>
      <c r="K11" s="111"/>
      <c r="L11" s="111"/>
      <c r="M11" s="111"/>
      <c r="N11" s="111"/>
    </row>
    <row r="12" spans="1:81">
      <c r="A12" s="110"/>
      <c r="B12" s="110"/>
      <c r="C12" s="110"/>
      <c r="D12" s="110"/>
      <c r="E12" s="111"/>
      <c r="F12" s="111"/>
      <c r="G12" s="111"/>
      <c r="H12" s="111"/>
      <c r="I12" s="111"/>
      <c r="J12" s="111"/>
      <c r="K12" s="111"/>
      <c r="L12" s="111"/>
      <c r="M12" s="111"/>
      <c r="N12" s="11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pane ySplit="2" topLeftCell="A3" activePane="bottomLeft" state="frozen"/>
      <selection pane="bottomLeft" activeCell="B3" sqref="B3:B7"/>
    </sheetView>
  </sheetViews>
  <sheetFormatPr defaultColWidth="8.7109375" defaultRowHeight="14.25"/>
  <cols>
    <col min="1" max="1" width="11" style="36" customWidth="1"/>
    <col min="2" max="2" width="24.85546875" style="36" customWidth="1"/>
    <col min="3" max="3" width="8.85546875" style="36" customWidth="1"/>
    <col min="4" max="4" width="8.7109375" style="36"/>
    <col min="5" max="5" width="14.28515625" style="43" customWidth="1"/>
    <col min="6" max="6" width="13.42578125" style="43" customWidth="1"/>
    <col min="7" max="8" width="16.85546875" style="43" customWidth="1"/>
    <col min="9" max="9" width="13.140625" style="43" customWidth="1"/>
    <col min="10" max="17" width="8.7109375" style="43"/>
    <col min="18" max="16384" width="8.7109375" style="36"/>
  </cols>
  <sheetData>
    <row r="1" spans="1:17" s="74" customFormat="1" ht="28.5" customHeight="1">
      <c r="B1" s="74" t="s">
        <v>465</v>
      </c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</row>
    <row r="2" spans="1:17" s="84" customFormat="1" ht="32.1" customHeight="1">
      <c r="A2" s="77" t="s">
        <v>1</v>
      </c>
      <c r="B2" s="77" t="s">
        <v>2</v>
      </c>
      <c r="C2" s="77" t="s">
        <v>457</v>
      </c>
      <c r="D2" s="77" t="s">
        <v>458</v>
      </c>
      <c r="E2" s="79" t="s">
        <v>5</v>
      </c>
      <c r="F2" s="79" t="s">
        <v>443</v>
      </c>
      <c r="G2" s="79" t="s">
        <v>459</v>
      </c>
      <c r="H2" s="79" t="s">
        <v>17</v>
      </c>
      <c r="I2" s="79" t="s">
        <v>5</v>
      </c>
      <c r="J2" s="79"/>
      <c r="K2" s="86"/>
      <c r="L2" s="86"/>
      <c r="M2" s="86"/>
      <c r="N2" s="86"/>
      <c r="O2" s="86"/>
      <c r="P2" s="86"/>
      <c r="Q2" s="86"/>
    </row>
    <row r="3" spans="1:17" ht="36" customHeight="1">
      <c r="A3" s="81">
        <v>46223</v>
      </c>
      <c r="B3" s="87" t="s">
        <v>466</v>
      </c>
      <c r="C3" s="80">
        <v>1817</v>
      </c>
      <c r="D3" s="80"/>
      <c r="E3" s="82">
        <v>10000000</v>
      </c>
      <c r="F3" s="82"/>
      <c r="G3" s="82"/>
      <c r="H3" s="82"/>
      <c r="I3" s="82">
        <f>F3+G3</f>
        <v>0</v>
      </c>
      <c r="J3" s="82"/>
    </row>
    <row r="4" spans="1:17" ht="33.6" customHeight="1">
      <c r="A4" s="81">
        <v>46223</v>
      </c>
      <c r="B4" s="87" t="s">
        <v>466</v>
      </c>
      <c r="C4" s="80">
        <v>1818</v>
      </c>
      <c r="D4" s="80"/>
      <c r="E4" s="82">
        <v>6922000</v>
      </c>
      <c r="F4" s="82">
        <v>18800000</v>
      </c>
      <c r="G4" s="82"/>
      <c r="H4" s="82"/>
      <c r="I4" s="82">
        <f t="shared" ref="I4:I6" si="0">F4+G4</f>
        <v>18800000</v>
      </c>
      <c r="J4" s="82"/>
    </row>
    <row r="5" spans="1:17" ht="35.1" customHeight="1">
      <c r="A5" s="81">
        <v>46211</v>
      </c>
      <c r="B5" s="87" t="s">
        <v>467</v>
      </c>
      <c r="C5" s="80">
        <v>1819</v>
      </c>
      <c r="D5" s="80">
        <v>10635</v>
      </c>
      <c r="E5" s="82">
        <v>10000000</v>
      </c>
      <c r="F5" s="82"/>
      <c r="G5" s="82">
        <v>10000000</v>
      </c>
      <c r="H5" s="82"/>
      <c r="I5" s="82">
        <f t="shared" si="0"/>
        <v>10000000</v>
      </c>
      <c r="J5" s="82"/>
    </row>
    <row r="6" spans="1:17" ht="42.75">
      <c r="A6" s="81">
        <v>46212</v>
      </c>
      <c r="B6" s="87" t="s">
        <v>467</v>
      </c>
      <c r="C6" s="80">
        <v>1820</v>
      </c>
      <c r="D6" s="80">
        <v>10635</v>
      </c>
      <c r="E6" s="82">
        <v>7000000</v>
      </c>
      <c r="F6" s="82"/>
      <c r="G6" s="82">
        <v>7000000</v>
      </c>
      <c r="H6" s="82"/>
      <c r="I6" s="82">
        <f t="shared" si="0"/>
        <v>7000000</v>
      </c>
      <c r="J6" s="82"/>
    </row>
    <row r="7" spans="1:17" ht="24.6" customHeight="1">
      <c r="A7" s="81"/>
      <c r="B7" s="87" t="s">
        <v>17</v>
      </c>
      <c r="C7" s="80"/>
      <c r="D7" s="80"/>
      <c r="E7" s="82">
        <f>21850</f>
        <v>21850</v>
      </c>
      <c r="F7" s="82"/>
      <c r="G7" s="82"/>
      <c r="H7" s="82">
        <v>21850</v>
      </c>
      <c r="I7" s="82">
        <f>F7+G7+H7</f>
        <v>21850</v>
      </c>
      <c r="J7" s="82"/>
    </row>
    <row r="8" spans="1:17" s="22" customFormat="1" ht="23.1" customHeight="1">
      <c r="A8" s="76"/>
      <c r="B8" s="76" t="s">
        <v>5</v>
      </c>
      <c r="C8" s="76"/>
      <c r="D8" s="76"/>
      <c r="E8" s="67">
        <f>SUM(E3:E7)</f>
        <v>33943850</v>
      </c>
      <c r="F8" s="67">
        <f t="shared" ref="F8:I8" si="1">SUM(F3:F7)</f>
        <v>18800000</v>
      </c>
      <c r="G8" s="67">
        <f t="shared" si="1"/>
        <v>17000000</v>
      </c>
      <c r="H8" s="67">
        <f t="shared" si="1"/>
        <v>21850</v>
      </c>
      <c r="I8" s="67">
        <f t="shared" si="1"/>
        <v>35821850</v>
      </c>
      <c r="J8" s="78"/>
      <c r="K8" s="88"/>
      <c r="L8" s="88"/>
      <c r="M8" s="88"/>
      <c r="N8" s="88"/>
      <c r="O8" s="88"/>
      <c r="P8" s="88"/>
      <c r="Q8" s="88"/>
    </row>
    <row r="9" spans="1:17" ht="26.1" customHeight="1">
      <c r="A9" s="80"/>
      <c r="B9" s="80"/>
      <c r="C9" s="80"/>
      <c r="D9" s="80"/>
      <c r="E9" s="82"/>
      <c r="F9" s="82"/>
      <c r="G9" s="82"/>
      <c r="H9" s="82"/>
      <c r="I9" s="82"/>
      <c r="J9" s="8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9"/>
  <sheetViews>
    <sheetView workbookViewId="0">
      <selection sqref="A1:I11"/>
    </sheetView>
  </sheetViews>
  <sheetFormatPr defaultColWidth="8.7109375" defaultRowHeight="14.25"/>
  <cols>
    <col min="1" max="1" width="10.85546875" style="36" customWidth="1"/>
    <col min="2" max="2" width="19.140625" style="36" customWidth="1"/>
    <col min="3" max="4" width="8.85546875" style="36" customWidth="1"/>
    <col min="5" max="5" width="12.85546875" style="36" customWidth="1"/>
    <col min="6" max="6" width="13.140625" style="36" customWidth="1"/>
    <col min="7" max="7" width="12.7109375" style="36" customWidth="1"/>
    <col min="8" max="16384" width="8.7109375" style="36"/>
  </cols>
  <sheetData>
    <row r="2" spans="1:8" ht="18">
      <c r="A2" s="73"/>
      <c r="B2" s="342" t="s">
        <v>468</v>
      </c>
      <c r="C2" s="343"/>
      <c r="D2" s="343"/>
      <c r="E2" s="343"/>
      <c r="F2" s="344"/>
      <c r="G2" s="75"/>
    </row>
    <row r="3" spans="1:8" ht="28.5">
      <c r="A3" s="76" t="s">
        <v>1</v>
      </c>
      <c r="B3" s="77" t="s">
        <v>2</v>
      </c>
      <c r="C3" s="76" t="s">
        <v>3</v>
      </c>
      <c r="D3" s="76" t="s">
        <v>4</v>
      </c>
      <c r="E3" s="78" t="s">
        <v>5</v>
      </c>
      <c r="F3" s="79" t="s">
        <v>17</v>
      </c>
      <c r="G3" s="76" t="s">
        <v>5</v>
      </c>
      <c r="H3" s="80"/>
    </row>
    <row r="4" spans="1:8">
      <c r="A4" s="81">
        <v>46053</v>
      </c>
      <c r="B4" s="80" t="s">
        <v>17</v>
      </c>
      <c r="C4" s="80"/>
      <c r="D4" s="80"/>
      <c r="E4" s="82">
        <f>36000+5400</f>
        <v>41400</v>
      </c>
      <c r="F4" s="82">
        <f>E4</f>
        <v>41400</v>
      </c>
      <c r="G4" s="83">
        <f>F4</f>
        <v>41400</v>
      </c>
      <c r="H4" s="80"/>
    </row>
    <row r="5" spans="1:8">
      <c r="A5" s="80"/>
      <c r="B5" s="80"/>
      <c r="C5" s="80"/>
      <c r="D5" s="80"/>
      <c r="E5" s="82"/>
      <c r="F5" s="82"/>
      <c r="G5" s="80"/>
      <c r="H5" s="80"/>
    </row>
    <row r="6" spans="1:8">
      <c r="A6" s="80"/>
      <c r="B6" s="80"/>
      <c r="C6" s="80"/>
      <c r="D6" s="80"/>
      <c r="E6" s="82"/>
      <c r="F6" s="82"/>
      <c r="G6" s="80"/>
      <c r="H6" s="80"/>
    </row>
    <row r="7" spans="1:8">
      <c r="A7" s="76"/>
      <c r="B7" s="76" t="s">
        <v>5</v>
      </c>
      <c r="C7" s="76"/>
      <c r="D7" s="76"/>
      <c r="E7" s="78">
        <f>SUM(E4:E6)</f>
        <v>41400</v>
      </c>
      <c r="F7" s="78">
        <f>SUM(F4:F6)</f>
        <v>41400</v>
      </c>
      <c r="G7" s="76"/>
      <c r="H7" s="80"/>
    </row>
    <row r="8" spans="1:8">
      <c r="A8" s="80"/>
      <c r="B8" s="80"/>
      <c r="C8" s="80"/>
      <c r="D8" s="80"/>
      <c r="E8" s="82"/>
      <c r="F8" s="82"/>
      <c r="G8" s="80"/>
      <c r="H8" s="80"/>
    </row>
    <row r="9" spans="1:8">
      <c r="A9" s="80"/>
      <c r="B9" s="80"/>
      <c r="C9" s="80"/>
      <c r="D9" s="80"/>
      <c r="E9" s="80"/>
      <c r="F9" s="80"/>
      <c r="G9" s="80"/>
      <c r="H9" s="80"/>
    </row>
  </sheetData>
  <mergeCells count="1">
    <mergeCell ref="B2:F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workbookViewId="0">
      <pane ySplit="2" topLeftCell="A3" activePane="bottomLeft" state="frozen"/>
      <selection pane="bottomLeft" activeCell="A5" sqref="A5"/>
    </sheetView>
  </sheetViews>
  <sheetFormatPr defaultColWidth="8.7109375" defaultRowHeight="12.75"/>
  <cols>
    <col min="1" max="1" width="11.5703125" style="21" customWidth="1"/>
    <col min="2" max="2" width="21.140625" style="21" customWidth="1"/>
    <col min="3" max="3" width="8.28515625" style="21" customWidth="1"/>
    <col min="4" max="4" width="6.85546875" style="21" customWidth="1"/>
    <col min="5" max="5" width="12" style="42" customWidth="1"/>
    <col min="6" max="6" width="12.7109375" style="42" customWidth="1"/>
    <col min="7" max="7" width="11" style="42" customWidth="1"/>
    <col min="8" max="8" width="10.85546875" style="42" customWidth="1"/>
    <col min="9" max="9" width="13.85546875" style="42" customWidth="1"/>
    <col min="10" max="10" width="8.85546875" style="21" customWidth="1"/>
    <col min="11" max="16384" width="8.7109375" style="21"/>
  </cols>
  <sheetData>
    <row r="1" spans="1:16" s="70" customFormat="1" ht="27.6" customHeight="1">
      <c r="B1" s="335" t="s">
        <v>469</v>
      </c>
      <c r="C1" s="345"/>
      <c r="D1" s="345"/>
      <c r="E1" s="345"/>
      <c r="F1" s="336"/>
      <c r="G1" s="336"/>
      <c r="H1" s="336"/>
      <c r="I1" s="72"/>
      <c r="J1" s="72"/>
      <c r="K1" s="72"/>
      <c r="L1" s="72"/>
      <c r="M1" s="72"/>
      <c r="N1" s="72"/>
      <c r="O1" s="72"/>
      <c r="P1" s="72"/>
    </row>
    <row r="2" spans="1:16" s="61" customFormat="1" ht="38.25">
      <c r="A2" s="62" t="s">
        <v>1</v>
      </c>
      <c r="B2" s="63" t="s">
        <v>2</v>
      </c>
      <c r="C2" s="62" t="s">
        <v>3</v>
      </c>
      <c r="D2" s="62" t="s">
        <v>4</v>
      </c>
      <c r="E2" s="67" t="s">
        <v>5</v>
      </c>
      <c r="F2" s="66" t="s">
        <v>333</v>
      </c>
      <c r="G2" s="66" t="s">
        <v>17</v>
      </c>
      <c r="H2" s="66" t="s">
        <v>56</v>
      </c>
      <c r="I2" s="67" t="s">
        <v>5</v>
      </c>
      <c r="J2" s="62"/>
    </row>
    <row r="3" spans="1:16" ht="25.5">
      <c r="A3" s="30">
        <v>46080</v>
      </c>
      <c r="B3" s="31" t="s">
        <v>470</v>
      </c>
      <c r="C3" s="32">
        <v>10854</v>
      </c>
      <c r="D3" s="32">
        <v>11312</v>
      </c>
      <c r="E3" s="33">
        <v>1800000</v>
      </c>
      <c r="F3" s="33">
        <v>1800000</v>
      </c>
      <c r="G3" s="33"/>
      <c r="H3" s="33"/>
      <c r="I3" s="33">
        <f>F3+G3+H3</f>
        <v>1800000</v>
      </c>
      <c r="J3" s="32"/>
    </row>
    <row r="4" spans="1:16">
      <c r="A4" s="30">
        <v>46076</v>
      </c>
      <c r="B4" s="32" t="s">
        <v>176</v>
      </c>
      <c r="C4" s="32">
        <v>10852</v>
      </c>
      <c r="D4" s="32">
        <v>11292</v>
      </c>
      <c r="E4" s="33">
        <v>500000</v>
      </c>
      <c r="F4" s="33"/>
      <c r="G4" s="33"/>
      <c r="H4" s="33">
        <v>500000</v>
      </c>
      <c r="I4" s="33">
        <f t="shared" ref="I4:I7" si="0">F4+G4+H4</f>
        <v>500000</v>
      </c>
      <c r="J4" s="32"/>
    </row>
    <row r="5" spans="1:16">
      <c r="A5" s="30">
        <v>46081</v>
      </c>
      <c r="B5" s="32" t="s">
        <v>17</v>
      </c>
      <c r="C5" s="32"/>
      <c r="D5" s="32"/>
      <c r="E5" s="33">
        <f>36000+5400</f>
        <v>41400</v>
      </c>
      <c r="F5" s="33"/>
      <c r="G5" s="33">
        <f>E5</f>
        <v>41400</v>
      </c>
      <c r="H5" s="33"/>
      <c r="I5" s="33">
        <f t="shared" si="0"/>
        <v>41400</v>
      </c>
      <c r="J5" s="32"/>
    </row>
    <row r="6" spans="1:16">
      <c r="A6" s="32"/>
      <c r="B6" s="32"/>
      <c r="C6" s="32"/>
      <c r="D6" s="32"/>
      <c r="E6" s="33"/>
      <c r="F6" s="33"/>
      <c r="G6" s="33"/>
      <c r="H6" s="33"/>
      <c r="I6" s="33">
        <f t="shared" si="0"/>
        <v>0</v>
      </c>
      <c r="J6" s="32"/>
    </row>
    <row r="7" spans="1:16">
      <c r="A7" s="32"/>
      <c r="B7" s="32"/>
      <c r="C7" s="32"/>
      <c r="D7" s="32"/>
      <c r="E7" s="33"/>
      <c r="F7" s="33"/>
      <c r="G7" s="33"/>
      <c r="H7" s="33"/>
      <c r="I7" s="33">
        <f t="shared" si="0"/>
        <v>0</v>
      </c>
      <c r="J7" s="32"/>
    </row>
    <row r="8" spans="1:16" s="61" customFormat="1">
      <c r="A8" s="62"/>
      <c r="B8" s="62" t="s">
        <v>5</v>
      </c>
      <c r="C8" s="62"/>
      <c r="D8" s="62"/>
      <c r="E8" s="67">
        <f>SUM(E3:E7)</f>
        <v>2341400</v>
      </c>
      <c r="F8" s="67">
        <f t="shared" ref="F8:J8" si="1">SUM(F3:F7)</f>
        <v>1800000</v>
      </c>
      <c r="G8" s="67">
        <f t="shared" si="1"/>
        <v>41400</v>
      </c>
      <c r="H8" s="67">
        <f t="shared" si="1"/>
        <v>500000</v>
      </c>
      <c r="I8" s="67">
        <f t="shared" si="1"/>
        <v>2341400</v>
      </c>
      <c r="J8" s="67">
        <f t="shared" si="1"/>
        <v>0</v>
      </c>
    </row>
  </sheetData>
  <mergeCells count="1">
    <mergeCell ref="B1:H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H16"/>
  <sheetViews>
    <sheetView topLeftCell="A7" workbookViewId="0">
      <selection activeCell="A11" sqref="A11"/>
    </sheetView>
  </sheetViews>
  <sheetFormatPr defaultColWidth="8.7109375" defaultRowHeight="12"/>
  <cols>
    <col min="1" max="1" width="12.5703125" style="9" customWidth="1"/>
    <col min="2" max="2" width="17.140625" style="9" customWidth="1"/>
    <col min="3" max="16384" width="8.7109375" style="9"/>
  </cols>
  <sheetData>
    <row r="9" spans="1:8">
      <c r="A9" s="10"/>
      <c r="B9" s="346" t="s">
        <v>471</v>
      </c>
      <c r="C9" s="347"/>
      <c r="D9" s="347"/>
      <c r="E9" s="347"/>
      <c r="F9" s="348"/>
      <c r="G9" s="11"/>
    </row>
    <row r="10" spans="1:8" ht="36">
      <c r="A10" s="12" t="s">
        <v>1</v>
      </c>
      <c r="B10" s="13" t="s">
        <v>2</v>
      </c>
      <c r="C10" s="12" t="s">
        <v>3</v>
      </c>
      <c r="D10" s="12" t="s">
        <v>4</v>
      </c>
      <c r="E10" s="14" t="s">
        <v>5</v>
      </c>
      <c r="F10" s="15" t="s">
        <v>17</v>
      </c>
      <c r="G10" s="12" t="s">
        <v>5</v>
      </c>
      <c r="H10" s="16"/>
    </row>
    <row r="11" spans="1:8">
      <c r="A11" s="17">
        <v>46112</v>
      </c>
      <c r="B11" s="16" t="s">
        <v>17</v>
      </c>
      <c r="C11" s="16"/>
      <c r="D11" s="16"/>
      <c r="E11" s="18">
        <f>36000+5400</f>
        <v>41400</v>
      </c>
      <c r="F11" s="18">
        <f>E11</f>
        <v>41400</v>
      </c>
      <c r="G11" s="19">
        <f>F11</f>
        <v>41400</v>
      </c>
      <c r="H11" s="16"/>
    </row>
    <row r="12" spans="1:8">
      <c r="A12" s="16"/>
      <c r="B12" s="16"/>
      <c r="C12" s="16"/>
      <c r="D12" s="16"/>
      <c r="E12" s="18"/>
      <c r="F12" s="18"/>
      <c r="G12" s="16"/>
      <c r="H12" s="16"/>
    </row>
    <row r="13" spans="1:8">
      <c r="A13" s="16"/>
      <c r="B13" s="16"/>
      <c r="C13" s="16"/>
      <c r="D13" s="16"/>
      <c r="E13" s="18"/>
      <c r="F13" s="18"/>
      <c r="G13" s="16"/>
      <c r="H13" s="16"/>
    </row>
    <row r="14" spans="1:8">
      <c r="A14" s="12"/>
      <c r="B14" s="12" t="s">
        <v>5</v>
      </c>
      <c r="C14" s="12"/>
      <c r="D14" s="12"/>
      <c r="E14" s="14">
        <f>SUM(E11:E13)</f>
        <v>41400</v>
      </c>
      <c r="F14" s="14">
        <f>SUM(F11:F13)</f>
        <v>41400</v>
      </c>
      <c r="G14" s="12"/>
      <c r="H14" s="16"/>
    </row>
    <row r="15" spans="1:8">
      <c r="A15" s="16"/>
      <c r="B15" s="16"/>
      <c r="C15" s="16"/>
      <c r="D15" s="16"/>
      <c r="E15" s="18"/>
      <c r="F15" s="18"/>
      <c r="G15" s="16"/>
      <c r="H15" s="16"/>
    </row>
    <row r="16" spans="1:8">
      <c r="A16" s="16"/>
      <c r="B16" s="16"/>
      <c r="C16" s="16"/>
      <c r="D16" s="16"/>
      <c r="E16" s="16"/>
      <c r="F16" s="16"/>
      <c r="G16" s="16"/>
      <c r="H16" s="16"/>
    </row>
  </sheetData>
  <mergeCells count="1">
    <mergeCell ref="B9:F9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2"/>
  <sheetViews>
    <sheetView workbookViewId="0">
      <selection activeCell="A6" sqref="A6"/>
    </sheetView>
  </sheetViews>
  <sheetFormatPr defaultColWidth="9" defaultRowHeight="15"/>
  <cols>
    <col min="1" max="1" width="10.42578125" customWidth="1"/>
    <col min="2" max="2" width="16.7109375" customWidth="1"/>
  </cols>
  <sheetData>
    <row r="2" spans="1:8" s="9" customFormat="1" ht="12"/>
    <row r="3" spans="1:8" s="9" customFormat="1" ht="12"/>
    <row r="4" spans="1:8" s="9" customFormat="1" ht="12">
      <c r="A4" s="10"/>
      <c r="B4" s="346" t="s">
        <v>472</v>
      </c>
      <c r="C4" s="347"/>
      <c r="D4" s="347"/>
      <c r="E4" s="347"/>
      <c r="F4" s="348"/>
      <c r="G4" s="11"/>
    </row>
    <row r="5" spans="1:8" s="9" customFormat="1" ht="24">
      <c r="A5" s="12" t="s">
        <v>1</v>
      </c>
      <c r="B5" s="13" t="s">
        <v>2</v>
      </c>
      <c r="C5" s="12" t="s">
        <v>3</v>
      </c>
      <c r="D5" s="12" t="s">
        <v>4</v>
      </c>
      <c r="E5" s="14" t="s">
        <v>5</v>
      </c>
      <c r="F5" s="15" t="s">
        <v>17</v>
      </c>
      <c r="G5" s="12" t="s">
        <v>5</v>
      </c>
      <c r="H5" s="16"/>
    </row>
    <row r="6" spans="1:8" s="9" customFormat="1" ht="12">
      <c r="A6" s="17">
        <v>46142</v>
      </c>
      <c r="B6" s="16" t="s">
        <v>17</v>
      </c>
      <c r="C6" s="16"/>
      <c r="D6" s="16"/>
      <c r="E6" s="18">
        <f>36000+5400</f>
        <v>41400</v>
      </c>
      <c r="F6" s="18">
        <f>E6</f>
        <v>41400</v>
      </c>
      <c r="G6" s="19">
        <f>F6</f>
        <v>41400</v>
      </c>
      <c r="H6" s="16"/>
    </row>
    <row r="7" spans="1:8" s="9" customFormat="1" ht="12">
      <c r="A7" s="16"/>
      <c r="B7" s="16"/>
      <c r="C7" s="16"/>
      <c r="D7" s="16"/>
      <c r="E7" s="18"/>
      <c r="F7" s="18"/>
      <c r="G7" s="16"/>
      <c r="H7" s="16"/>
    </row>
    <row r="8" spans="1:8" s="9" customFormat="1" ht="12">
      <c r="A8" s="16"/>
      <c r="B8" s="16"/>
      <c r="C8" s="16"/>
      <c r="D8" s="16"/>
      <c r="E8" s="18"/>
      <c r="F8" s="18"/>
      <c r="G8" s="16"/>
      <c r="H8" s="16"/>
    </row>
    <row r="9" spans="1:8" s="9" customFormat="1" ht="12">
      <c r="A9" s="12"/>
      <c r="B9" s="12" t="s">
        <v>5</v>
      </c>
      <c r="C9" s="12"/>
      <c r="D9" s="12"/>
      <c r="E9" s="14">
        <f>SUM(E6:E8)</f>
        <v>41400</v>
      </c>
      <c r="F9" s="14">
        <f>SUM(F6:F8)</f>
        <v>41400</v>
      </c>
      <c r="G9" s="12"/>
      <c r="H9" s="16"/>
    </row>
    <row r="10" spans="1:8" s="9" customFormat="1" ht="12">
      <c r="A10" s="16"/>
      <c r="B10" s="16"/>
      <c r="C10" s="16"/>
      <c r="D10" s="16"/>
      <c r="E10" s="18"/>
      <c r="F10" s="18"/>
      <c r="G10" s="16"/>
      <c r="H10" s="16"/>
    </row>
    <row r="11" spans="1:8" s="9" customFormat="1" ht="12">
      <c r="A11" s="16"/>
      <c r="B11" s="16"/>
      <c r="C11" s="16"/>
      <c r="D11" s="16"/>
      <c r="E11" s="16"/>
      <c r="F11" s="16"/>
      <c r="G11" s="16"/>
      <c r="H11" s="16"/>
    </row>
    <row r="12" spans="1:8" s="9" customFormat="1" ht="12"/>
  </sheetData>
  <mergeCells count="1">
    <mergeCell ref="B4:F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sqref="A1:H10"/>
    </sheetView>
  </sheetViews>
  <sheetFormatPr defaultColWidth="9" defaultRowHeight="15"/>
  <cols>
    <col min="1" max="1" width="10.5703125" customWidth="1"/>
    <col min="2" max="2" width="18.85546875" customWidth="1"/>
  </cols>
  <sheetData>
    <row r="1" spans="1:8" s="9" customFormat="1" ht="12"/>
    <row r="2" spans="1:8" s="9" customFormat="1" ht="12"/>
    <row r="3" spans="1:8" s="9" customFormat="1" ht="12">
      <c r="A3" s="10"/>
      <c r="B3" s="346" t="s">
        <v>473</v>
      </c>
      <c r="C3" s="347"/>
      <c r="D3" s="347"/>
      <c r="E3" s="347"/>
      <c r="F3" s="348"/>
      <c r="G3" s="11"/>
    </row>
    <row r="4" spans="1:8" s="9" customFormat="1" ht="24">
      <c r="A4" s="12" t="s">
        <v>1</v>
      </c>
      <c r="B4" s="13" t="s">
        <v>2</v>
      </c>
      <c r="C4" s="12" t="s">
        <v>3</v>
      </c>
      <c r="D4" s="12" t="s">
        <v>4</v>
      </c>
      <c r="E4" s="14" t="s">
        <v>5</v>
      </c>
      <c r="F4" s="15" t="s">
        <v>17</v>
      </c>
      <c r="G4" s="12" t="s">
        <v>5</v>
      </c>
      <c r="H4" s="16"/>
    </row>
    <row r="5" spans="1:8" s="9" customFormat="1" ht="12">
      <c r="A5" s="17">
        <v>46173</v>
      </c>
      <c r="B5" s="16" t="s">
        <v>17</v>
      </c>
      <c r="C5" s="16"/>
      <c r="D5" s="16"/>
      <c r="E5" s="18">
        <f>36000+5400</f>
        <v>41400</v>
      </c>
      <c r="F5" s="18">
        <f>E5</f>
        <v>41400</v>
      </c>
      <c r="G5" s="19">
        <f>F5</f>
        <v>41400</v>
      </c>
      <c r="H5" s="16"/>
    </row>
    <row r="6" spans="1:8" s="9" customFormat="1" ht="12">
      <c r="A6" s="16"/>
      <c r="B6" s="16"/>
      <c r="C6" s="16"/>
      <c r="D6" s="16"/>
      <c r="E6" s="18"/>
      <c r="F6" s="18"/>
      <c r="G6" s="16"/>
      <c r="H6" s="16"/>
    </row>
    <row r="7" spans="1:8" s="9" customFormat="1" ht="12">
      <c r="A7" s="16"/>
      <c r="B7" s="16"/>
      <c r="C7" s="16"/>
      <c r="D7" s="16"/>
      <c r="E7" s="18"/>
      <c r="F7" s="18"/>
      <c r="G7" s="16"/>
      <c r="H7" s="16"/>
    </row>
    <row r="8" spans="1:8" s="9" customFormat="1" ht="12">
      <c r="A8" s="12"/>
      <c r="B8" s="12" t="s">
        <v>5</v>
      </c>
      <c r="C8" s="12"/>
      <c r="D8" s="12"/>
      <c r="E8" s="14">
        <f>SUM(E5:E7)</f>
        <v>41400</v>
      </c>
      <c r="F8" s="14">
        <f>SUM(F5:F7)</f>
        <v>41400</v>
      </c>
      <c r="G8" s="12"/>
      <c r="H8" s="16"/>
    </row>
    <row r="9" spans="1:8" s="9" customFormat="1" ht="12">
      <c r="A9" s="16"/>
      <c r="B9" s="16"/>
      <c r="C9" s="16"/>
      <c r="D9" s="16"/>
      <c r="E9" s="18"/>
      <c r="F9" s="18"/>
      <c r="G9" s="16"/>
      <c r="H9" s="16"/>
    </row>
    <row r="10" spans="1:8" s="9" customFormat="1" ht="12">
      <c r="A10" s="16"/>
      <c r="B10" s="16"/>
      <c r="C10" s="16"/>
      <c r="D10" s="16"/>
      <c r="E10" s="16"/>
      <c r="F10" s="16"/>
      <c r="G10" s="16"/>
      <c r="H10" s="16"/>
    </row>
    <row r="11" spans="1:8" s="9" customFormat="1" ht="12"/>
  </sheetData>
  <mergeCells count="1">
    <mergeCell ref="B3:F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>
      <selection activeCell="F2" sqref="F2:H2"/>
    </sheetView>
  </sheetViews>
  <sheetFormatPr defaultColWidth="9" defaultRowHeight="29.45" customHeight="1"/>
  <cols>
    <col min="1" max="1" width="10.140625" customWidth="1"/>
    <col min="2" max="2" width="27.42578125" customWidth="1"/>
    <col min="5" max="7" width="14.42578125" customWidth="1"/>
    <col min="8" max="8" width="11.5703125" customWidth="1"/>
    <col min="9" max="9" width="14.5703125" customWidth="1"/>
  </cols>
  <sheetData>
    <row r="1" spans="1:15" s="21" customFormat="1" ht="29.45" customHeight="1">
      <c r="B1" s="22" t="s">
        <v>474</v>
      </c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s="61" customFormat="1" ht="29.45" customHeight="1">
      <c r="A2" s="62" t="s">
        <v>1</v>
      </c>
      <c r="B2" s="63" t="s">
        <v>2</v>
      </c>
      <c r="C2" s="64" t="s">
        <v>3</v>
      </c>
      <c r="D2" s="62" t="s">
        <v>4</v>
      </c>
      <c r="E2" s="65" t="s">
        <v>5</v>
      </c>
      <c r="F2" s="66" t="s">
        <v>475</v>
      </c>
      <c r="G2" s="66" t="s">
        <v>476</v>
      </c>
      <c r="H2" s="66" t="s">
        <v>17</v>
      </c>
      <c r="I2" s="67" t="s">
        <v>5</v>
      </c>
      <c r="J2" s="67"/>
      <c r="K2" s="68"/>
      <c r="L2" s="68"/>
      <c r="M2" s="68"/>
      <c r="N2" s="68"/>
      <c r="O2" s="68"/>
    </row>
    <row r="3" spans="1:15" s="21" customFormat="1" ht="29.45" customHeight="1">
      <c r="A3" s="30">
        <v>46202</v>
      </c>
      <c r="B3" s="31" t="s">
        <v>477</v>
      </c>
      <c r="C3" s="32">
        <v>10855</v>
      </c>
      <c r="D3" s="32">
        <v>10607</v>
      </c>
      <c r="E3" s="33">
        <v>10000</v>
      </c>
      <c r="F3" s="33">
        <v>10000</v>
      </c>
      <c r="G3" s="33"/>
      <c r="H3" s="33"/>
      <c r="I3" s="33">
        <f>F3+G3+H3</f>
        <v>10000</v>
      </c>
      <c r="J3" s="33"/>
      <c r="K3" s="42"/>
      <c r="L3" s="42"/>
      <c r="M3" s="42"/>
      <c r="N3" s="42"/>
      <c r="O3" s="42"/>
    </row>
    <row r="4" spans="1:15" s="21" customFormat="1" ht="29.45" customHeight="1">
      <c r="A4" s="30">
        <v>46202</v>
      </c>
      <c r="B4" s="31" t="s">
        <v>478</v>
      </c>
      <c r="C4" s="32">
        <v>10856</v>
      </c>
      <c r="D4" s="32">
        <v>10605</v>
      </c>
      <c r="E4" s="33">
        <v>10000</v>
      </c>
      <c r="F4" s="33">
        <v>0</v>
      </c>
      <c r="G4" s="33">
        <f>E4</f>
        <v>10000</v>
      </c>
      <c r="H4" s="33"/>
      <c r="I4" s="33">
        <f t="shared" ref="I4:I5" si="0">F4+G4+H4</f>
        <v>10000</v>
      </c>
      <c r="J4" s="33"/>
      <c r="K4" s="42"/>
      <c r="L4" s="42"/>
      <c r="M4" s="42"/>
      <c r="N4" s="42"/>
      <c r="O4" s="42"/>
    </row>
    <row r="5" spans="1:15" s="21" customFormat="1" ht="29.45" customHeight="1">
      <c r="A5" s="30">
        <v>46202</v>
      </c>
      <c r="B5" s="31" t="s">
        <v>479</v>
      </c>
      <c r="C5" s="32">
        <v>10855</v>
      </c>
      <c r="D5" s="32">
        <v>10607</v>
      </c>
      <c r="E5" s="33">
        <v>47058000</v>
      </c>
      <c r="F5" s="33">
        <f>E5</f>
        <v>47058000</v>
      </c>
      <c r="G5" s="33"/>
      <c r="H5" s="33"/>
      <c r="I5" s="33">
        <f t="shared" si="0"/>
        <v>47058000</v>
      </c>
      <c r="J5" s="33"/>
      <c r="K5" s="42"/>
      <c r="L5" s="42"/>
      <c r="M5" s="42"/>
      <c r="N5" s="42"/>
      <c r="O5" s="42"/>
    </row>
    <row r="6" spans="1:15" s="21" customFormat="1" ht="29.45" customHeight="1">
      <c r="A6" s="30">
        <v>46202</v>
      </c>
      <c r="B6" s="31" t="s">
        <v>480</v>
      </c>
      <c r="C6" s="32">
        <v>10856</v>
      </c>
      <c r="D6" s="32">
        <v>10605</v>
      </c>
      <c r="E6" s="33">
        <v>66420000</v>
      </c>
      <c r="F6" s="33">
        <v>0</v>
      </c>
      <c r="G6" s="33">
        <f>E6</f>
        <v>66420000</v>
      </c>
      <c r="H6" s="33"/>
      <c r="I6" s="33">
        <f t="shared" ref="I6:I7" si="1">F6+G6+H6</f>
        <v>66420000</v>
      </c>
      <c r="J6" s="33"/>
      <c r="K6" s="42"/>
      <c r="L6" s="42"/>
      <c r="M6" s="42"/>
      <c r="N6" s="42"/>
      <c r="O6" s="42"/>
    </row>
    <row r="7" spans="1:15" s="21" customFormat="1" ht="29.45" customHeight="1">
      <c r="A7" s="32"/>
      <c r="B7" s="31" t="s">
        <v>17</v>
      </c>
      <c r="C7" s="32"/>
      <c r="D7" s="32"/>
      <c r="E7" s="33">
        <f>100000+15000+52900</f>
        <v>167900</v>
      </c>
      <c r="F7" s="33"/>
      <c r="G7" s="33"/>
      <c r="H7" s="33">
        <f>E7</f>
        <v>167900</v>
      </c>
      <c r="I7" s="33">
        <f t="shared" si="1"/>
        <v>167900</v>
      </c>
      <c r="J7" s="33"/>
      <c r="K7" s="42"/>
      <c r="L7" s="42"/>
      <c r="M7" s="42"/>
      <c r="N7" s="42"/>
      <c r="O7" s="42"/>
    </row>
    <row r="8" spans="1:15" s="61" customFormat="1" ht="29.45" customHeight="1">
      <c r="A8" s="62"/>
      <c r="B8" s="62" t="s">
        <v>5</v>
      </c>
      <c r="C8" s="62"/>
      <c r="D8" s="62"/>
      <c r="E8" s="67">
        <f>SUM(E3:E7)</f>
        <v>113665900</v>
      </c>
      <c r="F8" s="67">
        <f t="shared" ref="F8:I8" si="2">SUM(F3:F7)</f>
        <v>47068000</v>
      </c>
      <c r="G8" s="67">
        <f t="shared" si="2"/>
        <v>66430000</v>
      </c>
      <c r="H8" s="67">
        <f t="shared" si="2"/>
        <v>167900</v>
      </c>
      <c r="I8" s="67">
        <f t="shared" si="2"/>
        <v>113665900</v>
      </c>
      <c r="J8" s="67"/>
      <c r="K8" s="68"/>
      <c r="L8" s="68"/>
      <c r="M8" s="68"/>
      <c r="N8" s="68"/>
      <c r="O8" s="68"/>
    </row>
    <row r="9" spans="1:15" s="21" customFormat="1" ht="29.45" customHeight="1">
      <c r="A9" s="32"/>
      <c r="B9" s="32"/>
      <c r="C9" s="32"/>
      <c r="D9" s="32"/>
      <c r="E9" s="33"/>
      <c r="F9" s="33"/>
      <c r="G9" s="33"/>
      <c r="H9" s="33"/>
      <c r="I9" s="33"/>
      <c r="J9" s="33"/>
      <c r="K9" s="42"/>
      <c r="L9" s="42"/>
      <c r="M9" s="42"/>
      <c r="N9" s="42"/>
      <c r="O9" s="42"/>
    </row>
    <row r="10" spans="1:15" ht="29.45" customHeight="1">
      <c r="A10" s="69"/>
      <c r="B10" s="69"/>
      <c r="C10" s="69"/>
      <c r="D10" s="69"/>
      <c r="E10" s="69"/>
      <c r="F10" s="69"/>
      <c r="G10" s="69"/>
      <c r="H10" s="69"/>
      <c r="I10" s="69"/>
      <c r="J10" s="69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8"/>
  <sheetViews>
    <sheetView topLeftCell="R1" workbookViewId="0">
      <pane ySplit="2" topLeftCell="A27" activePane="bottomLeft" state="frozen"/>
      <selection pane="bottomLeft" activeCell="AG34" sqref="AG34"/>
    </sheetView>
  </sheetViews>
  <sheetFormatPr defaultColWidth="8.7109375" defaultRowHeight="21.6" customHeight="1"/>
  <cols>
    <col min="1" max="1" width="10.85546875" style="21" customWidth="1"/>
    <col min="2" max="2" width="26.85546875" style="21" customWidth="1"/>
    <col min="3" max="4" width="8.85546875" style="21" customWidth="1"/>
    <col min="5" max="5" width="13.140625" style="42" customWidth="1"/>
    <col min="6" max="6" width="10.28515625" style="42" customWidth="1"/>
    <col min="7" max="7" width="8.85546875" style="42" hidden="1" customWidth="1"/>
    <col min="8" max="8" width="10.28515625" style="42" hidden="1" customWidth="1"/>
    <col min="9" max="10" width="8.85546875" style="42" hidden="1" customWidth="1"/>
    <col min="11" max="12" width="10.28515625" style="42" customWidth="1"/>
    <col min="13" max="13" width="8.85546875" style="42" customWidth="1"/>
    <col min="14" max="15" width="10.28515625" style="42" customWidth="1"/>
    <col min="16" max="16" width="10.140625" style="42" customWidth="1"/>
    <col min="17" max="17" width="8.85546875" style="42" customWidth="1"/>
    <col min="18" max="18" width="9.42578125" style="42" customWidth="1"/>
    <col min="19" max="19" width="10.140625" style="42" customWidth="1"/>
    <col min="20" max="20" width="8.85546875" style="42" customWidth="1"/>
    <col min="21" max="21" width="11.5703125" style="42" customWidth="1"/>
    <col min="22" max="22" width="9.5703125" style="42" customWidth="1"/>
    <col min="23" max="23" width="12.42578125" style="42" customWidth="1"/>
    <col min="24" max="24" width="10.28515625" style="42" customWidth="1"/>
    <col min="25" max="25" width="11.28515625" style="42" customWidth="1"/>
    <col min="26" max="26" width="11.140625" style="42" customWidth="1"/>
    <col min="27" max="27" width="10.140625" style="42" customWidth="1"/>
    <col min="28" max="28" width="10.85546875" style="42" customWidth="1"/>
    <col min="29" max="29" width="9.42578125" style="42" customWidth="1"/>
    <col min="30" max="30" width="12.7109375" style="21" customWidth="1"/>
    <col min="31" max="16384" width="8.7109375" style="21"/>
  </cols>
  <sheetData>
    <row r="1" spans="1:33" s="36" customFormat="1" ht="21.6" customHeight="1">
      <c r="B1" s="22" t="s">
        <v>481</v>
      </c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</row>
    <row r="2" spans="1:33" s="37" customFormat="1" ht="55.5" customHeight="1">
      <c r="A2" s="23" t="s">
        <v>1</v>
      </c>
      <c r="B2" s="23" t="s">
        <v>2</v>
      </c>
      <c r="C2" s="24" t="s">
        <v>3</v>
      </c>
      <c r="D2" s="23" t="s">
        <v>4</v>
      </c>
      <c r="E2" s="25" t="s">
        <v>5</v>
      </c>
      <c r="F2" s="26" t="s">
        <v>37</v>
      </c>
      <c r="G2" s="26" t="s">
        <v>482</v>
      </c>
      <c r="H2" s="26" t="s">
        <v>483</v>
      </c>
      <c r="I2" s="26" t="s">
        <v>328</v>
      </c>
      <c r="J2" s="26" t="s">
        <v>135</v>
      </c>
      <c r="K2" s="26" t="s">
        <v>52</v>
      </c>
      <c r="L2" s="26" t="s">
        <v>484</v>
      </c>
      <c r="M2" s="26" t="s">
        <v>14</v>
      </c>
      <c r="N2" s="26" t="s">
        <v>485</v>
      </c>
      <c r="O2" s="26" t="s">
        <v>319</v>
      </c>
      <c r="P2" s="26" t="s">
        <v>486</v>
      </c>
      <c r="Q2" s="26" t="s">
        <v>487</v>
      </c>
      <c r="R2" s="26" t="s">
        <v>58</v>
      </c>
      <c r="S2" s="26" t="s">
        <v>158</v>
      </c>
      <c r="T2" s="26" t="s">
        <v>41</v>
      </c>
      <c r="U2" s="26" t="s">
        <v>12</v>
      </c>
      <c r="V2" s="26" t="s">
        <v>17</v>
      </c>
      <c r="W2" s="26" t="s">
        <v>10</v>
      </c>
      <c r="X2" s="26" t="s">
        <v>488</v>
      </c>
      <c r="Y2" s="26" t="s">
        <v>309</v>
      </c>
      <c r="Z2" s="26" t="s">
        <v>46</v>
      </c>
      <c r="AA2" s="26" t="s">
        <v>45</v>
      </c>
      <c r="AB2" s="26" t="s">
        <v>270</v>
      </c>
      <c r="AC2" s="26" t="s">
        <v>53</v>
      </c>
      <c r="AD2" s="23" t="s">
        <v>5</v>
      </c>
      <c r="AE2" s="23"/>
    </row>
    <row r="3" spans="1:33" s="38" customFormat="1" ht="29.45" customHeight="1">
      <c r="A3" s="44">
        <v>46217</v>
      </c>
      <c r="B3" s="45" t="s">
        <v>489</v>
      </c>
      <c r="C3" s="46">
        <v>10874</v>
      </c>
      <c r="D3" s="45">
        <v>10921</v>
      </c>
      <c r="E3" s="47">
        <v>4672800</v>
      </c>
      <c r="F3" s="47">
        <v>4672800</v>
      </c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8">
        <f t="shared" ref="AD3:AD33" si="0">F3+G3+H3+I3+J3+K3+L3+M3+N3+O3+P3+Q3+R3+S3+T3+U3+V3+W3+X3+Y3+Z3+AA3+AB3+AC3</f>
        <v>4672800</v>
      </c>
      <c r="AE3" s="45"/>
    </row>
    <row r="4" spans="1:33" s="38" customFormat="1" ht="21.6" customHeight="1">
      <c r="A4" s="44">
        <v>46213</v>
      </c>
      <c r="B4" s="45" t="s">
        <v>490</v>
      </c>
      <c r="C4" s="46">
        <v>10858</v>
      </c>
      <c r="D4" s="45">
        <v>10917</v>
      </c>
      <c r="E4" s="47">
        <v>300000</v>
      </c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>
        <v>300000</v>
      </c>
      <c r="AA4" s="47"/>
      <c r="AB4" s="47"/>
      <c r="AC4" s="47"/>
      <c r="AD4" s="48">
        <f t="shared" si="0"/>
        <v>300000</v>
      </c>
      <c r="AE4" s="45"/>
    </row>
    <row r="5" spans="1:33" s="38" customFormat="1" ht="21.6" customHeight="1">
      <c r="A5" s="44">
        <v>46216</v>
      </c>
      <c r="B5" s="45" t="s">
        <v>76</v>
      </c>
      <c r="C5" s="45">
        <v>10884</v>
      </c>
      <c r="D5" s="46">
        <v>10914</v>
      </c>
      <c r="E5" s="47">
        <v>600000</v>
      </c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>
        <v>600000</v>
      </c>
      <c r="AB5" s="47"/>
      <c r="AC5" s="47"/>
      <c r="AD5" s="48">
        <f t="shared" si="0"/>
        <v>600000</v>
      </c>
      <c r="AE5" s="45"/>
    </row>
    <row r="6" spans="1:33" s="38" customFormat="1" ht="21.6" customHeight="1">
      <c r="A6" s="44">
        <v>46216</v>
      </c>
      <c r="B6" s="45" t="s">
        <v>25</v>
      </c>
      <c r="C6" s="46">
        <v>10868</v>
      </c>
      <c r="D6" s="45">
        <v>10898</v>
      </c>
      <c r="E6" s="47">
        <v>6000000</v>
      </c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>
        <v>6000000</v>
      </c>
      <c r="AC6" s="47"/>
      <c r="AD6" s="48">
        <f t="shared" si="0"/>
        <v>6000000</v>
      </c>
      <c r="AE6" s="45"/>
    </row>
    <row r="7" spans="1:33" s="38" customFormat="1" ht="21.6" customHeight="1">
      <c r="A7" s="44">
        <v>46216</v>
      </c>
      <c r="B7" s="45" t="s">
        <v>25</v>
      </c>
      <c r="C7" s="46">
        <v>10881</v>
      </c>
      <c r="D7" s="45">
        <v>10876</v>
      </c>
      <c r="E7" s="47">
        <v>860000</v>
      </c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>
        <v>860000</v>
      </c>
      <c r="AD7" s="48">
        <f t="shared" si="0"/>
        <v>860000</v>
      </c>
      <c r="AE7" s="45"/>
    </row>
    <row r="8" spans="1:33" s="38" customFormat="1" ht="21.6" customHeight="1">
      <c r="A8" s="44">
        <v>46216</v>
      </c>
      <c r="B8" s="45" t="s">
        <v>82</v>
      </c>
      <c r="C8" s="46">
        <v>10865</v>
      </c>
      <c r="D8" s="45">
        <v>10920</v>
      </c>
      <c r="E8" s="47">
        <v>2150000</v>
      </c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>
        <f>500000+440000</f>
        <v>940000</v>
      </c>
      <c r="V8" s="47"/>
      <c r="W8" s="47"/>
      <c r="X8" s="47"/>
      <c r="Y8" s="47"/>
      <c r="Z8" s="47"/>
      <c r="AA8" s="47">
        <v>1350000</v>
      </c>
      <c r="AB8" s="47"/>
      <c r="AC8" s="47"/>
      <c r="AD8" s="48">
        <f t="shared" si="0"/>
        <v>2290000</v>
      </c>
      <c r="AE8" s="45"/>
    </row>
    <row r="9" spans="1:33" s="38" customFormat="1" ht="21.6" customHeight="1">
      <c r="A9" s="44">
        <v>46217</v>
      </c>
      <c r="B9" s="45" t="s">
        <v>82</v>
      </c>
      <c r="C9" s="46">
        <v>10864</v>
      </c>
      <c r="D9" s="45">
        <v>10922</v>
      </c>
      <c r="E9" s="47">
        <v>787200</v>
      </c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>
        <f>E9</f>
        <v>787200</v>
      </c>
      <c r="U9" s="47"/>
      <c r="V9" s="47"/>
      <c r="W9" s="47"/>
      <c r="X9" s="47"/>
      <c r="Y9" s="47"/>
      <c r="Z9" s="47"/>
      <c r="AA9" s="47"/>
      <c r="AB9" s="47"/>
      <c r="AC9" s="47"/>
      <c r="AD9" s="48">
        <f t="shared" si="0"/>
        <v>787200</v>
      </c>
      <c r="AE9" s="45"/>
    </row>
    <row r="10" spans="1:33" s="38" customFormat="1" ht="21.6" customHeight="1">
      <c r="A10" s="44">
        <v>46216</v>
      </c>
      <c r="B10" s="45" t="s">
        <v>30</v>
      </c>
      <c r="C10" s="46">
        <v>10880</v>
      </c>
      <c r="D10" s="45">
        <v>10901</v>
      </c>
      <c r="E10" s="47">
        <v>1800000</v>
      </c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>
        <v>1800000</v>
      </c>
      <c r="V10" s="47"/>
      <c r="W10" s="47"/>
      <c r="X10" s="47"/>
      <c r="Y10" s="47"/>
      <c r="Z10" s="47"/>
      <c r="AA10" s="47"/>
      <c r="AB10" s="47"/>
      <c r="AC10" s="47"/>
      <c r="AD10" s="48">
        <f t="shared" si="0"/>
        <v>1800000</v>
      </c>
      <c r="AE10" s="45"/>
    </row>
    <row r="11" spans="1:33" s="39" customFormat="1" ht="21.6" customHeight="1">
      <c r="A11" s="49">
        <v>46216</v>
      </c>
      <c r="B11" s="50" t="s">
        <v>214</v>
      </c>
      <c r="C11" s="51">
        <v>10869</v>
      </c>
      <c r="D11" s="50">
        <v>10872</v>
      </c>
      <c r="E11" s="52">
        <v>3462500</v>
      </c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>
        <f>E11</f>
        <v>3462500</v>
      </c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48">
        <f t="shared" si="0"/>
        <v>3462500</v>
      </c>
      <c r="AE11" s="50"/>
    </row>
    <row r="12" spans="1:33" s="39" customFormat="1" ht="21.6" customHeight="1">
      <c r="A12" s="49">
        <v>46217</v>
      </c>
      <c r="B12" s="50" t="s">
        <v>491</v>
      </c>
      <c r="C12" s="51">
        <v>10857</v>
      </c>
      <c r="D12" s="50">
        <v>10918</v>
      </c>
      <c r="E12" s="52">
        <v>350000</v>
      </c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>
        <f>E12</f>
        <v>350000</v>
      </c>
      <c r="AA12" s="52"/>
      <c r="AB12" s="52"/>
      <c r="AC12" s="52"/>
      <c r="AD12" s="48">
        <f t="shared" si="0"/>
        <v>350000</v>
      </c>
      <c r="AE12" s="50"/>
    </row>
    <row r="13" spans="1:33" s="39" customFormat="1" ht="21.6" customHeight="1">
      <c r="A13" s="49">
        <v>46217</v>
      </c>
      <c r="B13" s="50" t="s">
        <v>93</v>
      </c>
      <c r="C13" s="51">
        <v>10870</v>
      </c>
      <c r="D13" s="50">
        <v>10926</v>
      </c>
      <c r="E13" s="52">
        <v>237500</v>
      </c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>
        <v>237500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48">
        <f t="shared" si="0"/>
        <v>237500</v>
      </c>
      <c r="AE13" s="50"/>
    </row>
    <row r="14" spans="1:33" s="39" customFormat="1" ht="21.6" customHeight="1">
      <c r="A14" s="49">
        <v>46216</v>
      </c>
      <c r="B14" s="50" t="s">
        <v>238</v>
      </c>
      <c r="C14" s="51">
        <v>10877</v>
      </c>
      <c r="D14" s="50">
        <v>10877</v>
      </c>
      <c r="E14" s="52">
        <v>320000</v>
      </c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>
        <v>320000</v>
      </c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48">
        <f t="shared" si="0"/>
        <v>320000</v>
      </c>
      <c r="AE14" s="50"/>
    </row>
    <row r="15" spans="1:33" s="39" customFormat="1" ht="21.6" customHeight="1">
      <c r="A15" s="49">
        <v>46217</v>
      </c>
      <c r="B15" s="50" t="s">
        <v>188</v>
      </c>
      <c r="C15" s="51">
        <v>10876</v>
      </c>
      <c r="D15" s="50">
        <v>10879</v>
      </c>
      <c r="E15" s="52">
        <v>1310000</v>
      </c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>
        <f>E15</f>
        <v>1310000</v>
      </c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48">
        <f t="shared" si="0"/>
        <v>1310000</v>
      </c>
      <c r="AE15" s="50"/>
    </row>
    <row r="16" spans="1:33" s="40" customFormat="1" ht="21" customHeight="1">
      <c r="A16" s="53">
        <v>46218</v>
      </c>
      <c r="B16" s="54" t="s">
        <v>492</v>
      </c>
      <c r="C16" s="54">
        <v>10872</v>
      </c>
      <c r="D16" s="54">
        <v>10890</v>
      </c>
      <c r="E16" s="55">
        <v>1890000</v>
      </c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>
        <f>1890000</f>
        <v>1890000</v>
      </c>
      <c r="X16" s="55"/>
      <c r="Y16" s="55"/>
      <c r="Z16" s="55"/>
      <c r="AA16" s="55"/>
      <c r="AB16" s="55"/>
      <c r="AC16" s="55"/>
      <c r="AD16" s="48">
        <f t="shared" si="0"/>
        <v>1890000</v>
      </c>
      <c r="AE16" s="55"/>
      <c r="AF16" s="56"/>
      <c r="AG16" s="56"/>
    </row>
    <row r="17" spans="1:31" s="40" customFormat="1" ht="21.6" customHeight="1">
      <c r="A17" s="53">
        <v>46219</v>
      </c>
      <c r="B17" s="54" t="s">
        <v>493</v>
      </c>
      <c r="C17" s="54">
        <v>10873</v>
      </c>
      <c r="D17" s="54">
        <v>10885</v>
      </c>
      <c r="E17" s="55">
        <v>3854000</v>
      </c>
      <c r="F17" s="55">
        <v>246000</v>
      </c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>
        <f>4100000</f>
        <v>4100000</v>
      </c>
      <c r="Y17" s="55"/>
      <c r="Z17" s="55"/>
      <c r="AA17" s="55"/>
      <c r="AB17" s="55"/>
      <c r="AC17" s="55"/>
      <c r="AD17" s="48">
        <f t="shared" si="0"/>
        <v>4346000</v>
      </c>
      <c r="AE17" s="54"/>
    </row>
    <row r="18" spans="1:31" s="40" customFormat="1" ht="30" customHeight="1">
      <c r="A18" s="53">
        <v>46217</v>
      </c>
      <c r="B18" s="50" t="s">
        <v>494</v>
      </c>
      <c r="C18" s="54">
        <v>10882</v>
      </c>
      <c r="D18" s="54">
        <v>9688</v>
      </c>
      <c r="E18" s="55">
        <v>11390040</v>
      </c>
      <c r="F18" s="55">
        <v>1875960</v>
      </c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>
        <v>11390040</v>
      </c>
      <c r="Z18" s="55"/>
      <c r="AA18" s="55"/>
      <c r="AB18" s="55"/>
      <c r="AC18" s="55"/>
      <c r="AD18" s="48">
        <f t="shared" si="0"/>
        <v>13266000</v>
      </c>
      <c r="AE18" s="54"/>
    </row>
    <row r="19" spans="1:31" s="40" customFormat="1" ht="21.6" customHeight="1">
      <c r="A19" s="53">
        <v>46217</v>
      </c>
      <c r="B19" s="50" t="s">
        <v>25</v>
      </c>
      <c r="C19" s="54">
        <v>10879</v>
      </c>
      <c r="D19" s="54">
        <v>10907</v>
      </c>
      <c r="E19" s="55">
        <v>4950000</v>
      </c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>
        <f>E19</f>
        <v>4950000</v>
      </c>
      <c r="AC19" s="55"/>
      <c r="AD19" s="48">
        <f t="shared" si="0"/>
        <v>4950000</v>
      </c>
      <c r="AE19" s="54"/>
    </row>
    <row r="20" spans="1:31" s="40" customFormat="1" ht="21.6" customHeight="1">
      <c r="A20" s="53">
        <v>46217</v>
      </c>
      <c r="B20" s="50" t="s">
        <v>175</v>
      </c>
      <c r="C20" s="54">
        <v>10881</v>
      </c>
      <c r="D20" s="54">
        <v>10867</v>
      </c>
      <c r="E20" s="55">
        <v>1105000</v>
      </c>
      <c r="F20" s="55"/>
      <c r="G20" s="55"/>
      <c r="H20" s="55"/>
      <c r="I20" s="55"/>
      <c r="J20" s="55"/>
      <c r="K20" s="55"/>
      <c r="L20" s="55"/>
      <c r="M20" s="55"/>
      <c r="N20" s="55"/>
      <c r="O20" s="55">
        <f>E20</f>
        <v>1105000</v>
      </c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48">
        <f t="shared" si="0"/>
        <v>1105000</v>
      </c>
      <c r="AE20" s="54"/>
    </row>
    <row r="21" spans="1:31" s="40" customFormat="1" ht="21.6" customHeight="1">
      <c r="A21" s="53">
        <v>46218</v>
      </c>
      <c r="B21" s="50" t="s">
        <v>495</v>
      </c>
      <c r="C21" s="54">
        <v>10877</v>
      </c>
      <c r="D21" s="54">
        <v>10878</v>
      </c>
      <c r="E21" s="55">
        <v>500000</v>
      </c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>
        <v>500000</v>
      </c>
      <c r="AD21" s="48">
        <f t="shared" si="0"/>
        <v>500000</v>
      </c>
      <c r="AE21" s="54"/>
    </row>
    <row r="22" spans="1:31" s="40" customFormat="1" ht="21.6" customHeight="1">
      <c r="A22" s="53">
        <v>46218</v>
      </c>
      <c r="B22" s="50" t="s">
        <v>385</v>
      </c>
      <c r="C22" s="54">
        <v>10878</v>
      </c>
      <c r="D22" s="54">
        <v>10873</v>
      </c>
      <c r="E22" s="55">
        <v>250000</v>
      </c>
      <c r="F22" s="55"/>
      <c r="G22" s="55"/>
      <c r="H22" s="55"/>
      <c r="I22" s="55"/>
      <c r="J22" s="55"/>
      <c r="K22" s="55"/>
      <c r="L22" s="55"/>
      <c r="M22" s="55"/>
      <c r="N22" s="55"/>
      <c r="O22" s="55">
        <f>E22</f>
        <v>250000</v>
      </c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48">
        <f t="shared" si="0"/>
        <v>250000</v>
      </c>
      <c r="AE22" s="54"/>
    </row>
    <row r="23" spans="1:31" s="41" customFormat="1" ht="21.6" customHeight="1">
      <c r="A23" s="53">
        <v>46218</v>
      </c>
      <c r="B23" s="45" t="s">
        <v>243</v>
      </c>
      <c r="C23" s="57">
        <v>10859</v>
      </c>
      <c r="D23" s="57">
        <v>10919</v>
      </c>
      <c r="E23" s="58">
        <v>240000</v>
      </c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>
        <f>E23</f>
        <v>240000</v>
      </c>
      <c r="V23" s="58"/>
      <c r="W23" s="58"/>
      <c r="X23" s="58"/>
      <c r="Y23" s="58"/>
      <c r="Z23" s="58"/>
      <c r="AA23" s="58"/>
      <c r="AB23" s="58"/>
      <c r="AC23" s="58"/>
      <c r="AD23" s="48">
        <f t="shared" si="0"/>
        <v>240000</v>
      </c>
      <c r="AE23" s="57"/>
    </row>
    <row r="24" spans="1:31" s="41" customFormat="1" ht="21.6" customHeight="1">
      <c r="A24" s="53">
        <v>46218</v>
      </c>
      <c r="B24" s="45" t="s">
        <v>237</v>
      </c>
      <c r="C24" s="57">
        <v>10860</v>
      </c>
      <c r="D24" s="57">
        <v>10882</v>
      </c>
      <c r="E24" s="58">
        <v>1062000</v>
      </c>
      <c r="F24" s="58"/>
      <c r="G24" s="58"/>
      <c r="H24" s="58"/>
      <c r="I24" s="58"/>
      <c r="J24" s="58"/>
      <c r="K24" s="58"/>
      <c r="L24" s="58"/>
      <c r="M24" s="58"/>
      <c r="N24" s="58">
        <v>1062000</v>
      </c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48">
        <f t="shared" si="0"/>
        <v>1062000</v>
      </c>
      <c r="AE24" s="57"/>
    </row>
    <row r="25" spans="1:31" s="41" customFormat="1" ht="21.6" customHeight="1">
      <c r="A25" s="53">
        <v>46218</v>
      </c>
      <c r="B25" s="45" t="s">
        <v>252</v>
      </c>
      <c r="C25" s="57">
        <v>10861</v>
      </c>
      <c r="D25" s="57">
        <v>10916</v>
      </c>
      <c r="E25" s="58">
        <v>150000</v>
      </c>
      <c r="F25" s="58"/>
      <c r="G25" s="58"/>
      <c r="H25" s="58"/>
      <c r="I25" s="58"/>
      <c r="J25" s="58"/>
      <c r="K25" s="58"/>
      <c r="L25" s="58"/>
      <c r="M25" s="58">
        <f>150000</f>
        <v>150000</v>
      </c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48">
        <f t="shared" si="0"/>
        <v>150000</v>
      </c>
      <c r="AE25" s="57"/>
    </row>
    <row r="26" spans="1:31" s="41" customFormat="1" ht="21.6" customHeight="1">
      <c r="A26" s="53">
        <v>46218</v>
      </c>
      <c r="B26" s="45" t="s">
        <v>496</v>
      </c>
      <c r="C26" s="57">
        <v>10883</v>
      </c>
      <c r="D26" s="57">
        <v>10923</v>
      </c>
      <c r="E26" s="58">
        <v>1600000</v>
      </c>
      <c r="F26" s="58"/>
      <c r="G26" s="58"/>
      <c r="H26" s="58"/>
      <c r="I26" s="58"/>
      <c r="J26" s="58"/>
      <c r="K26" s="58"/>
      <c r="L26" s="58">
        <v>1600000</v>
      </c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48">
        <f t="shared" si="0"/>
        <v>1600000</v>
      </c>
      <c r="AE26" s="57"/>
    </row>
    <row r="27" spans="1:31" s="41" customFormat="1" ht="21.6" customHeight="1">
      <c r="A27" s="53">
        <v>46220</v>
      </c>
      <c r="B27" s="45" t="s">
        <v>497</v>
      </c>
      <c r="C27" s="57">
        <v>10871</v>
      </c>
      <c r="D27" s="57">
        <v>10927</v>
      </c>
      <c r="E27" s="58">
        <v>604000</v>
      </c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>
        <v>604000</v>
      </c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48">
        <f t="shared" si="0"/>
        <v>604000</v>
      </c>
      <c r="AE27" s="57"/>
    </row>
    <row r="28" spans="1:31" s="41" customFormat="1" ht="20.45" customHeight="1">
      <c r="A28" s="59">
        <v>46220</v>
      </c>
      <c r="B28" s="45" t="s">
        <v>498</v>
      </c>
      <c r="C28" s="57">
        <v>10862</v>
      </c>
      <c r="D28" s="57">
        <v>10903</v>
      </c>
      <c r="E28" s="58">
        <v>2000000</v>
      </c>
      <c r="F28" s="58"/>
      <c r="G28" s="58"/>
      <c r="H28" s="58"/>
      <c r="I28" s="58"/>
      <c r="J28" s="58"/>
      <c r="K28" s="58">
        <v>2000000</v>
      </c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48">
        <f t="shared" si="0"/>
        <v>2000000</v>
      </c>
      <c r="AE28" s="57"/>
    </row>
    <row r="29" spans="1:31" s="41" customFormat="1" ht="21.6" customHeight="1">
      <c r="A29" s="59">
        <v>46234</v>
      </c>
      <c r="B29" s="45" t="s">
        <v>496</v>
      </c>
      <c r="C29" s="57">
        <v>10895</v>
      </c>
      <c r="D29" s="57">
        <v>12025</v>
      </c>
      <c r="E29" s="58">
        <v>6500000</v>
      </c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>
        <v>6500000</v>
      </c>
      <c r="V29" s="58"/>
      <c r="W29" s="58"/>
      <c r="X29" s="58"/>
      <c r="Y29" s="58"/>
      <c r="Z29" s="58"/>
      <c r="AA29" s="58"/>
      <c r="AB29" s="58"/>
      <c r="AC29" s="58"/>
      <c r="AD29" s="48">
        <f t="shared" si="0"/>
        <v>6500000</v>
      </c>
      <c r="AE29" s="57"/>
    </row>
    <row r="30" spans="1:31" s="41" customFormat="1" ht="21.6" customHeight="1">
      <c r="A30" s="59">
        <v>46234</v>
      </c>
      <c r="B30" s="45" t="s">
        <v>88</v>
      </c>
      <c r="C30" s="57">
        <v>10906</v>
      </c>
      <c r="D30" s="57">
        <v>12048</v>
      </c>
      <c r="E30" s="58">
        <v>500000</v>
      </c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>
        <v>500000</v>
      </c>
      <c r="V30" s="58"/>
      <c r="W30" s="58"/>
      <c r="X30" s="58"/>
      <c r="Y30" s="58"/>
      <c r="Z30" s="58"/>
      <c r="AA30" s="58"/>
      <c r="AB30" s="58"/>
      <c r="AC30" s="58"/>
      <c r="AD30" s="48">
        <f t="shared" si="0"/>
        <v>500000</v>
      </c>
      <c r="AE30" s="57"/>
    </row>
    <row r="31" spans="1:31" s="41" customFormat="1" ht="21.6" customHeight="1">
      <c r="A31" s="59">
        <v>46234</v>
      </c>
      <c r="B31" s="45" t="s">
        <v>496</v>
      </c>
      <c r="C31" s="57">
        <v>10894</v>
      </c>
      <c r="D31" s="57">
        <v>12043</v>
      </c>
      <c r="E31" s="58">
        <v>4200000</v>
      </c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>
        <f>4200000</f>
        <v>4200000</v>
      </c>
      <c r="V31" s="58"/>
      <c r="W31" s="58"/>
      <c r="X31" s="58"/>
      <c r="Y31" s="58"/>
      <c r="Z31" s="58"/>
      <c r="AA31" s="58"/>
      <c r="AB31" s="58"/>
      <c r="AC31" s="58"/>
      <c r="AD31" s="48">
        <f t="shared" si="0"/>
        <v>4200000</v>
      </c>
      <c r="AE31" s="57"/>
    </row>
    <row r="32" spans="1:31" s="41" customFormat="1" ht="28.5" customHeight="1">
      <c r="A32" s="59">
        <v>46234</v>
      </c>
      <c r="B32" s="45" t="s">
        <v>494</v>
      </c>
      <c r="C32" s="57">
        <v>10896</v>
      </c>
      <c r="D32" s="57">
        <v>12044</v>
      </c>
      <c r="E32" s="58">
        <v>9000000</v>
      </c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>
        <v>9000000</v>
      </c>
      <c r="Z32" s="58"/>
      <c r="AA32" s="58"/>
      <c r="AB32" s="58"/>
      <c r="AC32" s="58"/>
      <c r="AD32" s="48">
        <f t="shared" si="0"/>
        <v>9000000</v>
      </c>
      <c r="AE32" s="57"/>
    </row>
    <row r="33" spans="1:31" ht="21.6" customHeight="1">
      <c r="A33" s="32"/>
      <c r="B33" s="32" t="s">
        <v>17</v>
      </c>
      <c r="C33" s="32"/>
      <c r="D33" s="32"/>
      <c r="E33" s="33">
        <f>313231</f>
        <v>313231</v>
      </c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>
        <f>E33</f>
        <v>313231</v>
      </c>
      <c r="W33" s="33"/>
      <c r="X33" s="33"/>
      <c r="Y33" s="33"/>
      <c r="Z33" s="33"/>
      <c r="AA33" s="33"/>
      <c r="AB33" s="33"/>
      <c r="AC33" s="33"/>
      <c r="AD33" s="34">
        <f t="shared" si="0"/>
        <v>313231</v>
      </c>
      <c r="AE33" s="32"/>
    </row>
    <row r="34" spans="1:31" ht="21.6" customHeight="1">
      <c r="A34" s="32"/>
      <c r="B34" s="32" t="s">
        <v>5</v>
      </c>
      <c r="C34" s="32"/>
      <c r="D34" s="32"/>
      <c r="E34" s="60">
        <f>SUM(E3:E33)</f>
        <v>72958271</v>
      </c>
      <c r="F34" s="60">
        <f t="shared" ref="F34:AD34" si="1">SUM(F3:F33)</f>
        <v>6794760</v>
      </c>
      <c r="G34" s="60">
        <f t="shared" si="1"/>
        <v>0</v>
      </c>
      <c r="H34" s="60">
        <f t="shared" si="1"/>
        <v>0</v>
      </c>
      <c r="I34" s="60">
        <f t="shared" si="1"/>
        <v>0</v>
      </c>
      <c r="J34" s="60">
        <f t="shared" si="1"/>
        <v>0</v>
      </c>
      <c r="K34" s="60">
        <f t="shared" si="1"/>
        <v>2000000</v>
      </c>
      <c r="L34" s="60">
        <f t="shared" si="1"/>
        <v>1600000</v>
      </c>
      <c r="M34" s="60">
        <f t="shared" si="1"/>
        <v>150000</v>
      </c>
      <c r="N34" s="60">
        <f t="shared" si="1"/>
        <v>1062000</v>
      </c>
      <c r="O34" s="60">
        <f t="shared" si="1"/>
        <v>1355000</v>
      </c>
      <c r="P34" s="60">
        <f t="shared" si="1"/>
        <v>1310000</v>
      </c>
      <c r="Q34" s="60">
        <f t="shared" si="1"/>
        <v>320000</v>
      </c>
      <c r="R34" s="60">
        <f t="shared" si="1"/>
        <v>841500</v>
      </c>
      <c r="S34" s="60">
        <f t="shared" si="1"/>
        <v>3462500</v>
      </c>
      <c r="T34" s="60">
        <f t="shared" si="1"/>
        <v>787200</v>
      </c>
      <c r="U34" s="60">
        <f t="shared" si="1"/>
        <v>14180000</v>
      </c>
      <c r="V34" s="60">
        <f t="shared" si="1"/>
        <v>313231</v>
      </c>
      <c r="W34" s="60">
        <f t="shared" si="1"/>
        <v>1890000</v>
      </c>
      <c r="X34" s="60">
        <f t="shared" si="1"/>
        <v>4100000</v>
      </c>
      <c r="Y34" s="60">
        <f t="shared" si="1"/>
        <v>20390040</v>
      </c>
      <c r="Z34" s="60">
        <f t="shared" si="1"/>
        <v>650000</v>
      </c>
      <c r="AA34" s="60">
        <f t="shared" si="1"/>
        <v>1950000</v>
      </c>
      <c r="AB34" s="60">
        <f t="shared" si="1"/>
        <v>10950000</v>
      </c>
      <c r="AC34" s="60">
        <f t="shared" si="1"/>
        <v>1360000</v>
      </c>
      <c r="AD34" s="60">
        <f t="shared" si="1"/>
        <v>75466231</v>
      </c>
      <c r="AE34" s="32"/>
    </row>
    <row r="35" spans="1:31" ht="21.6" customHeight="1">
      <c r="A35" s="32"/>
      <c r="B35" s="32"/>
      <c r="C35" s="32"/>
      <c r="D35" s="32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2"/>
      <c r="AE35" s="32"/>
    </row>
    <row r="36" spans="1:31" ht="21.6" customHeight="1">
      <c r="A36" s="32"/>
      <c r="B36" s="32"/>
      <c r="C36" s="32"/>
      <c r="D36" s="32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2"/>
      <c r="AE36" s="32"/>
    </row>
    <row r="37" spans="1:31" ht="21.6" customHeight="1">
      <c r="A37" s="32"/>
      <c r="B37" s="32"/>
      <c r="C37" s="32"/>
      <c r="D37" s="32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2"/>
      <c r="AE37" s="32"/>
    </row>
    <row r="38" spans="1:31" ht="21.6" customHeight="1">
      <c r="A38" s="32"/>
      <c r="B38" s="32"/>
      <c r="C38" s="32"/>
      <c r="D38" s="32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2"/>
      <c r="AE38" s="32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"/>
  <sheetViews>
    <sheetView workbookViewId="0">
      <pane ySplit="2" topLeftCell="A3" activePane="bottomLeft" state="frozen"/>
      <selection pane="bottomLeft" activeCell="H10" sqref="H10"/>
    </sheetView>
  </sheetViews>
  <sheetFormatPr defaultColWidth="9" defaultRowHeight="15"/>
  <cols>
    <col min="1" max="1" width="10.140625" customWidth="1"/>
    <col min="2" max="2" width="22.28515625" customWidth="1"/>
    <col min="5" max="5" width="11.5703125" customWidth="1"/>
    <col min="8" max="8" width="14.42578125" customWidth="1"/>
    <col min="9" max="9" width="12.42578125" customWidth="1"/>
    <col min="10" max="10" width="11.85546875" customWidth="1"/>
    <col min="12" max="12" width="14.140625" customWidth="1"/>
    <col min="13" max="13" width="12.42578125" customWidth="1"/>
    <col min="15" max="15" width="10.5703125" customWidth="1"/>
    <col min="27" max="27" width="14.28515625" customWidth="1"/>
    <col min="28" max="28" width="13.140625" customWidth="1"/>
  </cols>
  <sheetData>
    <row r="1" spans="1:32">
      <c r="B1" s="22" t="s">
        <v>499</v>
      </c>
    </row>
    <row r="2" spans="1:32" s="20" customFormat="1" ht="51.75">
      <c r="A2" s="23" t="s">
        <v>1</v>
      </c>
      <c r="B2" s="23" t="s">
        <v>2</v>
      </c>
      <c r="C2" s="24" t="s">
        <v>3</v>
      </c>
      <c r="D2" s="23" t="s">
        <v>4</v>
      </c>
      <c r="E2" s="25" t="s">
        <v>5</v>
      </c>
      <c r="F2" s="26" t="s">
        <v>37</v>
      </c>
      <c r="G2" s="26" t="s">
        <v>482</v>
      </c>
      <c r="H2" s="27" t="s">
        <v>500</v>
      </c>
      <c r="I2" s="20" t="s">
        <v>12</v>
      </c>
      <c r="J2" s="28" t="s">
        <v>274</v>
      </c>
      <c r="K2" s="29" t="s">
        <v>135</v>
      </c>
      <c r="L2" s="20" t="s">
        <v>45</v>
      </c>
      <c r="M2" s="20" t="s">
        <v>46</v>
      </c>
      <c r="N2" s="20" t="s">
        <v>58</v>
      </c>
      <c r="O2" s="20" t="s">
        <v>318</v>
      </c>
    </row>
    <row r="3" spans="1:32" s="21" customFormat="1" ht="21.6" customHeight="1">
      <c r="A3" s="30">
        <v>46234</v>
      </c>
      <c r="B3" s="31" t="s">
        <v>189</v>
      </c>
      <c r="C3" s="32">
        <v>10887</v>
      </c>
      <c r="D3" s="32">
        <v>12016</v>
      </c>
      <c r="E3" s="33">
        <v>350000</v>
      </c>
      <c r="F3" s="33"/>
      <c r="G3" s="33"/>
      <c r="H3" s="33"/>
      <c r="I3" s="33"/>
      <c r="K3" s="33">
        <f>E3</f>
        <v>350000</v>
      </c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4" t="e">
        <f>F3+G3+I3+J2+K3+L3+M3+N3+O3+P3+Q3+R3+S3+T3+U3+V3+W3+X3+Y3+Z3+AA3+AB3+AC3+AD3</f>
        <v>#VALUE!</v>
      </c>
      <c r="AF3" s="32"/>
    </row>
    <row r="4" spans="1:32" s="21" customFormat="1" ht="21.6" customHeight="1">
      <c r="A4" s="30">
        <v>46234</v>
      </c>
      <c r="B4" s="31" t="s">
        <v>93</v>
      </c>
      <c r="C4" s="32">
        <v>10902</v>
      </c>
      <c r="D4" s="32">
        <v>12038</v>
      </c>
      <c r="E4" s="33">
        <v>1050000</v>
      </c>
      <c r="F4" s="33"/>
      <c r="G4" s="33"/>
      <c r="H4" s="33"/>
      <c r="I4" s="33"/>
      <c r="J4" s="33"/>
      <c r="K4" s="33"/>
      <c r="L4" s="33">
        <v>1050000</v>
      </c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C4" s="33"/>
      <c r="AD4" s="33"/>
      <c r="AE4" s="34" t="e">
        <f>F4+G4+I4+J4+K4+#REF!+M4+N4+O4+P4+Q4+R4+S4+T4+U4+V4+W4+X4+Y4+Z4+AA4+L4+AC4+AD4</f>
        <v>#REF!</v>
      </c>
      <c r="AF4" s="32"/>
    </row>
    <row r="5" spans="1:32" s="21" customFormat="1" ht="21.6" customHeight="1">
      <c r="A5" s="30">
        <v>46234</v>
      </c>
      <c r="B5" s="31" t="s">
        <v>30</v>
      </c>
      <c r="C5" s="32">
        <v>10897</v>
      </c>
      <c r="D5" s="32">
        <v>12028</v>
      </c>
      <c r="E5" s="33">
        <v>752000</v>
      </c>
      <c r="F5" s="33"/>
      <c r="G5" s="33"/>
      <c r="H5" s="33"/>
      <c r="I5" s="33"/>
      <c r="J5" s="33">
        <v>752000</v>
      </c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4">
        <f>F5+G5+I5+J5+K5+L5+M5+N5+O5+P5+Q5+R5+S5+T5+U5+V5+W5+X5+Y5+Z5+AA5+AB5+AC5+AD5</f>
        <v>752000</v>
      </c>
      <c r="AF5" s="32"/>
    </row>
    <row r="6" spans="1:32" s="21" customFormat="1" ht="54" customHeight="1">
      <c r="A6" s="30">
        <v>46234</v>
      </c>
      <c r="B6" s="35" t="s">
        <v>501</v>
      </c>
      <c r="C6" s="32">
        <v>10888</v>
      </c>
      <c r="D6" s="32">
        <v>12014</v>
      </c>
      <c r="E6" s="33">
        <v>5894000</v>
      </c>
      <c r="F6" s="33"/>
      <c r="G6" s="33"/>
      <c r="H6" s="33"/>
      <c r="I6" s="33"/>
      <c r="J6" s="33"/>
      <c r="K6" s="33"/>
      <c r="L6" s="33"/>
      <c r="M6" s="33">
        <f>5894000</f>
        <v>5894000</v>
      </c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B6" s="33"/>
      <c r="AC6" s="33"/>
      <c r="AD6" s="33"/>
      <c r="AE6" s="34" t="e">
        <f>F6+G6+I6+J6+K6+L6+#REF!+N6+O6+P6+Q6+R6+S6+T6+U6+V6+W6+X6+Y6+Z6+M6+AB6+AC6+AD6</f>
        <v>#REF!</v>
      </c>
      <c r="AF6" s="32"/>
    </row>
    <row r="7" spans="1:32" s="21" customFormat="1" ht="21.6" customHeight="1">
      <c r="A7" s="30">
        <v>46234</v>
      </c>
      <c r="B7" s="31" t="s">
        <v>242</v>
      </c>
      <c r="C7" s="32">
        <v>10904</v>
      </c>
      <c r="D7" s="32">
        <v>12037</v>
      </c>
      <c r="E7" s="33">
        <v>270000</v>
      </c>
      <c r="F7" s="33"/>
      <c r="G7" s="33"/>
      <c r="H7" s="33"/>
      <c r="I7" s="33">
        <v>270000</v>
      </c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W7" s="33"/>
      <c r="X7" s="33"/>
      <c r="Y7" s="33"/>
      <c r="Z7" s="33"/>
      <c r="AA7" s="33"/>
      <c r="AB7" s="33"/>
      <c r="AC7" s="33"/>
      <c r="AD7" s="33"/>
      <c r="AE7" s="34" t="e">
        <f>F7+G7+#REF!+J7+K7+L7+M7+N7+O7+P7+Q7+R7+S7+T7+U7+I7+W7+X7+Y7+Z7+AA7+AB7+AC7+AD7</f>
        <v>#REF!</v>
      </c>
      <c r="AF7" s="32"/>
    </row>
    <row r="8" spans="1:32" s="21" customFormat="1" ht="21.6" customHeight="1">
      <c r="A8" s="30">
        <v>46234</v>
      </c>
      <c r="B8" s="31" t="s">
        <v>179</v>
      </c>
      <c r="C8" s="32">
        <v>10901</v>
      </c>
      <c r="D8" s="32">
        <v>12034</v>
      </c>
      <c r="E8" s="33">
        <v>360000</v>
      </c>
      <c r="F8" s="33"/>
      <c r="G8" s="33"/>
      <c r="H8" s="33"/>
      <c r="I8" s="33"/>
      <c r="J8" s="33"/>
      <c r="K8" s="33"/>
      <c r="L8" s="33"/>
      <c r="M8" s="33"/>
      <c r="N8" s="33">
        <f>E8</f>
        <v>360000</v>
      </c>
      <c r="O8" s="33"/>
      <c r="P8" s="33"/>
      <c r="Q8" s="33"/>
      <c r="R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4" t="e">
        <f>F8+G8+I8+J8+K8+L8+M8+#REF!+O8+P8+Q8+R8+N8+T8+U8+V8+W8+X8+Y8+Z8+AA8+AB8+AC8+AD8</f>
        <v>#REF!</v>
      </c>
      <c r="AF8" s="32"/>
    </row>
    <row r="9" spans="1:32" s="21" customFormat="1" ht="21.6" customHeight="1">
      <c r="A9" s="30">
        <v>46234</v>
      </c>
      <c r="B9" s="31" t="s">
        <v>238</v>
      </c>
      <c r="C9" s="32">
        <v>10892</v>
      </c>
      <c r="D9" s="32">
        <v>12021</v>
      </c>
      <c r="E9" s="33">
        <v>400000</v>
      </c>
      <c r="F9" s="33"/>
      <c r="G9" s="33"/>
      <c r="H9" s="33"/>
      <c r="I9" s="33"/>
      <c r="J9" s="33"/>
      <c r="K9" s="33"/>
      <c r="L9" s="33"/>
      <c r="M9" s="33"/>
      <c r="N9" s="33"/>
      <c r="O9" s="33">
        <f>400000</f>
        <v>400000</v>
      </c>
      <c r="P9" s="33"/>
      <c r="Q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4" t="e">
        <f>F9+G9+I9+J9+K9+L9+M9+N9+#REF!+P9+Q9+O9+S9+T9+U9+V9+W9+X9+Y9+Z9+AA9+AB9+AC9+AD9</f>
        <v>#REF!</v>
      </c>
      <c r="AF9" s="32"/>
    </row>
    <row r="10" spans="1:32" s="21" customFormat="1" ht="21.6" customHeight="1">
      <c r="A10" s="30">
        <v>46234</v>
      </c>
      <c r="B10" s="31" t="s">
        <v>502</v>
      </c>
      <c r="C10" s="32">
        <v>10889</v>
      </c>
      <c r="D10" s="32">
        <v>12013</v>
      </c>
      <c r="E10" s="33">
        <v>6000000</v>
      </c>
      <c r="F10" s="33"/>
      <c r="G10" s="33"/>
      <c r="H10" s="33">
        <f>E10</f>
        <v>6000000</v>
      </c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4">
        <f>F10+G10+H10+J10+K10+L10+M10+N10+O10+P10+Q10+R10+S10+T10+U10+V10+W10+X10+Y10+Z10+AA10+AB10+AC10+AD10</f>
        <v>6000000</v>
      </c>
      <c r="AF10" s="32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selection activeCell="F6" sqref="B1:O6"/>
    </sheetView>
  </sheetViews>
  <sheetFormatPr defaultColWidth="9" defaultRowHeight="15"/>
  <cols>
    <col min="1" max="1" width="10" customWidth="1"/>
    <col min="2" max="2" width="22.42578125" customWidth="1"/>
    <col min="3" max="3" width="9.7109375" customWidth="1"/>
    <col min="5" max="5" width="11.28515625" customWidth="1"/>
    <col min="6" max="6" width="12.5703125" customWidth="1"/>
    <col min="7" max="7" width="14" customWidth="1"/>
  </cols>
  <sheetData>
    <row r="1" spans="1:8">
      <c r="A1" s="9"/>
      <c r="B1" s="9"/>
      <c r="C1" s="9"/>
      <c r="D1" s="9"/>
      <c r="E1" s="9"/>
      <c r="F1" s="9"/>
      <c r="G1" s="9"/>
      <c r="H1" s="9"/>
    </row>
    <row r="2" spans="1:8">
      <c r="A2" s="9"/>
      <c r="B2" s="9"/>
      <c r="C2" s="9"/>
      <c r="D2" s="9"/>
      <c r="E2" s="9"/>
      <c r="F2" s="9"/>
      <c r="G2" s="9"/>
      <c r="H2" s="9"/>
    </row>
    <row r="3" spans="1:8">
      <c r="A3" s="10"/>
      <c r="B3" s="346" t="s">
        <v>503</v>
      </c>
      <c r="C3" s="347"/>
      <c r="D3" s="347"/>
      <c r="E3" s="347"/>
      <c r="F3" s="348"/>
      <c r="G3" s="11"/>
      <c r="H3" s="9"/>
    </row>
    <row r="4" spans="1:8" ht="25.5">
      <c r="A4" s="12" t="s">
        <v>1</v>
      </c>
      <c r="B4" s="13" t="s">
        <v>2</v>
      </c>
      <c r="C4" s="12" t="s">
        <v>3</v>
      </c>
      <c r="D4" s="12" t="s">
        <v>4</v>
      </c>
      <c r="E4" s="14" t="s">
        <v>5</v>
      </c>
      <c r="F4" s="15" t="s">
        <v>17</v>
      </c>
      <c r="G4" s="12" t="s">
        <v>5</v>
      </c>
      <c r="H4" s="16"/>
    </row>
    <row r="5" spans="1:8">
      <c r="A5" s="17">
        <v>46053</v>
      </c>
      <c r="B5" s="16" t="s">
        <v>17</v>
      </c>
      <c r="C5" s="16"/>
      <c r="D5" s="16"/>
      <c r="E5" s="18">
        <f>36000+5400</f>
        <v>41400</v>
      </c>
      <c r="F5" s="18">
        <f>E5</f>
        <v>41400</v>
      </c>
      <c r="G5" s="19">
        <f>F5</f>
        <v>41400</v>
      </c>
      <c r="H5" s="16"/>
    </row>
    <row r="6" spans="1:8">
      <c r="A6" s="17"/>
      <c r="B6" s="16"/>
      <c r="C6" s="16"/>
      <c r="D6" s="16"/>
      <c r="E6" s="18"/>
      <c r="F6" s="18"/>
      <c r="G6" s="19"/>
      <c r="H6" s="16"/>
    </row>
    <row r="7" spans="1:8">
      <c r="A7" s="17">
        <v>46081</v>
      </c>
      <c r="B7" s="16" t="s">
        <v>17</v>
      </c>
      <c r="C7" s="16"/>
      <c r="D7" s="16"/>
      <c r="E7" s="18">
        <f>36000+5400</f>
        <v>41400</v>
      </c>
      <c r="F7" s="18">
        <f>E7</f>
        <v>41400</v>
      </c>
      <c r="G7" s="19"/>
      <c r="H7" s="16"/>
    </row>
    <row r="8" spans="1:8">
      <c r="A8" s="17"/>
      <c r="B8" s="16"/>
      <c r="C8" s="16"/>
      <c r="D8" s="16"/>
      <c r="E8" s="18"/>
      <c r="F8" s="18"/>
      <c r="G8" s="19"/>
      <c r="H8" s="16"/>
    </row>
    <row r="9" spans="1:8">
      <c r="A9" s="17">
        <v>46112</v>
      </c>
      <c r="B9" s="16" t="s">
        <v>17</v>
      </c>
      <c r="C9" s="16"/>
      <c r="D9" s="16"/>
      <c r="E9" s="18">
        <v>41400</v>
      </c>
      <c r="F9" s="18">
        <v>41400</v>
      </c>
      <c r="G9" s="19"/>
      <c r="H9" s="16"/>
    </row>
    <row r="10" spans="1:8">
      <c r="A10" s="17"/>
      <c r="B10" s="16"/>
      <c r="C10" s="16"/>
      <c r="D10" s="16"/>
      <c r="E10" s="18"/>
      <c r="F10" s="18"/>
      <c r="G10" s="19"/>
      <c r="H10" s="16"/>
    </row>
    <row r="11" spans="1:8">
      <c r="A11" s="17">
        <v>46142</v>
      </c>
      <c r="B11" s="16" t="s">
        <v>17</v>
      </c>
      <c r="C11" s="16"/>
      <c r="D11" s="16"/>
      <c r="E11" s="18">
        <v>41400</v>
      </c>
      <c r="F11" s="18">
        <v>41400</v>
      </c>
      <c r="G11" s="19"/>
      <c r="H11" s="16"/>
    </row>
    <row r="12" spans="1:8">
      <c r="A12" s="17"/>
      <c r="B12" s="16"/>
      <c r="C12" s="16"/>
      <c r="D12" s="16"/>
      <c r="E12" s="18"/>
      <c r="F12" s="18"/>
      <c r="G12" s="19"/>
      <c r="H12" s="16"/>
    </row>
    <row r="13" spans="1:8">
      <c r="A13" s="17">
        <v>46173</v>
      </c>
      <c r="B13" s="16" t="s">
        <v>17</v>
      </c>
      <c r="C13" s="16"/>
      <c r="D13" s="16"/>
      <c r="E13" s="18">
        <v>41400</v>
      </c>
      <c r="F13" s="18">
        <v>41400</v>
      </c>
      <c r="G13" s="19"/>
      <c r="H13" s="16"/>
    </row>
    <row r="14" spans="1:8">
      <c r="A14" s="17"/>
      <c r="B14" s="16"/>
      <c r="C14" s="16"/>
      <c r="D14" s="16"/>
      <c r="E14" s="18"/>
      <c r="F14" s="18"/>
      <c r="G14" s="19"/>
      <c r="H14" s="16"/>
    </row>
    <row r="15" spans="1:8">
      <c r="A15" s="17">
        <v>46203</v>
      </c>
      <c r="B15" s="16" t="s">
        <v>17</v>
      </c>
      <c r="C15" s="16"/>
      <c r="D15" s="16"/>
      <c r="E15" s="18">
        <f>14000+2100+36000+5400</f>
        <v>57500</v>
      </c>
      <c r="F15" s="18">
        <f>E15</f>
        <v>57500</v>
      </c>
      <c r="G15" s="19"/>
      <c r="H15" s="16"/>
    </row>
    <row r="16" spans="1:8">
      <c r="A16" s="17"/>
      <c r="B16" s="16"/>
      <c r="C16" s="16"/>
      <c r="D16" s="16"/>
      <c r="E16" s="18"/>
      <c r="F16" s="18"/>
      <c r="G16" s="19"/>
      <c r="H16" s="16"/>
    </row>
    <row r="17" spans="1:8">
      <c r="A17" s="17">
        <v>46234</v>
      </c>
      <c r="B17" s="16" t="s">
        <v>17</v>
      </c>
      <c r="C17" s="16"/>
      <c r="D17" s="16"/>
      <c r="E17" s="18">
        <f>36000+5400</f>
        <v>41400</v>
      </c>
      <c r="F17" s="18">
        <f>E17</f>
        <v>41400</v>
      </c>
      <c r="G17" s="19"/>
      <c r="H17" s="16"/>
    </row>
    <row r="18" spans="1:8">
      <c r="A18" s="17"/>
      <c r="B18" s="16"/>
      <c r="C18" s="16"/>
      <c r="D18" s="16"/>
      <c r="E18" s="18"/>
      <c r="F18" s="18"/>
      <c r="G18" s="19"/>
      <c r="H18" s="16"/>
    </row>
    <row r="19" spans="1:8">
      <c r="A19" s="16"/>
      <c r="B19" s="16"/>
      <c r="C19" s="16"/>
      <c r="D19" s="16"/>
      <c r="E19" s="18"/>
      <c r="F19" s="18"/>
      <c r="G19" s="16"/>
      <c r="H19" s="16"/>
    </row>
    <row r="20" spans="1:8">
      <c r="A20" s="16"/>
      <c r="B20" s="16"/>
      <c r="C20" s="16"/>
      <c r="D20" s="16"/>
      <c r="E20" s="18"/>
      <c r="F20" s="18"/>
      <c r="G20" s="16"/>
      <c r="H20" s="16"/>
    </row>
    <row r="21" spans="1:8">
      <c r="A21" s="12"/>
      <c r="B21" s="12" t="s">
        <v>5</v>
      </c>
      <c r="C21" s="12"/>
      <c r="D21" s="12"/>
      <c r="E21" s="14">
        <f>SUM(E5:E20)</f>
        <v>305900</v>
      </c>
      <c r="F21" s="14">
        <f>SUM(F5:F20)</f>
        <v>305900</v>
      </c>
      <c r="G21" s="12"/>
      <c r="H21" s="16"/>
    </row>
    <row r="22" spans="1:8">
      <c r="A22" s="16"/>
      <c r="B22" s="16"/>
      <c r="C22" s="16"/>
      <c r="D22" s="16"/>
      <c r="E22" s="18"/>
      <c r="F22" s="18"/>
      <c r="G22" s="16"/>
      <c r="H22" s="16"/>
    </row>
    <row r="23" spans="1:8">
      <c r="A23" s="16"/>
      <c r="B23" s="16"/>
      <c r="C23" s="16"/>
      <c r="D23" s="16"/>
      <c r="E23" s="16"/>
      <c r="F23" s="16"/>
      <c r="G23" s="16"/>
      <c r="H23" s="16"/>
    </row>
  </sheetData>
  <mergeCells count="1">
    <mergeCell ref="B3:F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0"/>
  <sheetViews>
    <sheetView topLeftCell="A72" workbookViewId="0">
      <selection activeCell="B86" sqref="B86"/>
    </sheetView>
  </sheetViews>
  <sheetFormatPr defaultColWidth="9.140625" defaultRowHeight="15"/>
  <cols>
    <col min="1" max="1" width="22.85546875" customWidth="1"/>
  </cols>
  <sheetData>
    <row r="1" spans="1:2">
      <c r="A1" s="1" t="s">
        <v>504</v>
      </c>
      <c r="B1" s="1" t="s">
        <v>505</v>
      </c>
    </row>
    <row r="2" spans="1:2">
      <c r="A2" s="2" t="s">
        <v>506</v>
      </c>
      <c r="B2" s="3">
        <v>101</v>
      </c>
    </row>
    <row r="3" spans="1:2">
      <c r="A3" s="4" t="s">
        <v>325</v>
      </c>
      <c r="B3" s="3">
        <v>102</v>
      </c>
    </row>
    <row r="4" spans="1:2">
      <c r="A4" s="4" t="s">
        <v>53</v>
      </c>
      <c r="B4" s="3">
        <v>103</v>
      </c>
    </row>
    <row r="5" spans="1:2">
      <c r="A5" s="5" t="s">
        <v>507</v>
      </c>
      <c r="B5" s="3">
        <v>103</v>
      </c>
    </row>
    <row r="6" spans="1:2">
      <c r="A6" s="5" t="s">
        <v>508</v>
      </c>
      <c r="B6" s="3">
        <v>105</v>
      </c>
    </row>
    <row r="7" spans="1:2">
      <c r="A7" s="4" t="s">
        <v>143</v>
      </c>
      <c r="B7" s="3">
        <v>106</v>
      </c>
    </row>
    <row r="8" spans="1:2">
      <c r="A8" s="5" t="s">
        <v>509</v>
      </c>
      <c r="B8" s="3">
        <v>107</v>
      </c>
    </row>
    <row r="9" spans="1:2" ht="30">
      <c r="A9" s="6" t="s">
        <v>510</v>
      </c>
      <c r="B9" s="3">
        <v>108</v>
      </c>
    </row>
    <row r="10" spans="1:2">
      <c r="A10" s="5" t="s">
        <v>511</v>
      </c>
      <c r="B10" s="3">
        <v>109</v>
      </c>
    </row>
    <row r="11" spans="1:2">
      <c r="A11" s="5" t="s">
        <v>512</v>
      </c>
      <c r="B11" s="3">
        <v>109</v>
      </c>
    </row>
    <row r="12" spans="1:2">
      <c r="A12" s="5" t="s">
        <v>513</v>
      </c>
      <c r="B12" s="3">
        <v>111</v>
      </c>
    </row>
    <row r="13" spans="1:2" ht="24">
      <c r="A13" s="5" t="s">
        <v>514</v>
      </c>
      <c r="B13" s="3">
        <v>112</v>
      </c>
    </row>
    <row r="14" spans="1:2">
      <c r="A14" s="5" t="s">
        <v>515</v>
      </c>
      <c r="B14" s="3">
        <v>113</v>
      </c>
    </row>
    <row r="15" spans="1:2" ht="24">
      <c r="A15" s="5" t="s">
        <v>516</v>
      </c>
      <c r="B15" s="3">
        <v>113</v>
      </c>
    </row>
    <row r="16" spans="1:2" ht="24">
      <c r="A16" s="5" t="s">
        <v>517</v>
      </c>
      <c r="B16" s="3">
        <v>115</v>
      </c>
    </row>
    <row r="17" spans="1:2">
      <c r="A17" s="5" t="s">
        <v>518</v>
      </c>
      <c r="B17" s="3">
        <v>116</v>
      </c>
    </row>
    <row r="18" spans="1:2">
      <c r="A18" s="4" t="s">
        <v>280</v>
      </c>
      <c r="B18" s="3">
        <v>116</v>
      </c>
    </row>
    <row r="19" spans="1:2">
      <c r="A19" s="5" t="s">
        <v>519</v>
      </c>
      <c r="B19" s="3">
        <v>118</v>
      </c>
    </row>
    <row r="20" spans="1:2">
      <c r="A20" s="5" t="s">
        <v>520</v>
      </c>
      <c r="B20" s="3">
        <v>119</v>
      </c>
    </row>
    <row r="21" spans="1:2" ht="30">
      <c r="A21" s="6" t="s">
        <v>521</v>
      </c>
      <c r="B21" s="3">
        <v>120</v>
      </c>
    </row>
    <row r="22" spans="1:2">
      <c r="A22" s="5" t="s">
        <v>522</v>
      </c>
      <c r="B22" s="3">
        <v>121</v>
      </c>
    </row>
    <row r="23" spans="1:2" ht="24">
      <c r="A23" s="5" t="s">
        <v>523</v>
      </c>
      <c r="B23" s="3">
        <v>122</v>
      </c>
    </row>
    <row r="24" spans="1:2" ht="46.5">
      <c r="A24" s="5" t="s">
        <v>524</v>
      </c>
      <c r="B24" s="3">
        <v>123</v>
      </c>
    </row>
    <row r="25" spans="1:2" ht="24">
      <c r="A25" s="4" t="s">
        <v>277</v>
      </c>
      <c r="B25" s="3">
        <v>124</v>
      </c>
    </row>
    <row r="26" spans="1:2">
      <c r="A26" s="4" t="s">
        <v>146</v>
      </c>
      <c r="B26" s="3">
        <v>125</v>
      </c>
    </row>
    <row r="27" spans="1:2">
      <c r="A27" s="5" t="s">
        <v>525</v>
      </c>
      <c r="B27" s="3">
        <v>126</v>
      </c>
    </row>
    <row r="28" spans="1:2">
      <c r="A28" s="4" t="s">
        <v>231</v>
      </c>
      <c r="B28" s="3">
        <v>127</v>
      </c>
    </row>
    <row r="29" spans="1:2">
      <c r="A29" s="5" t="s">
        <v>526</v>
      </c>
      <c r="B29" s="3">
        <v>128</v>
      </c>
    </row>
    <row r="30" spans="1:2">
      <c r="A30" s="5" t="s">
        <v>527</v>
      </c>
      <c r="B30" s="3">
        <v>128</v>
      </c>
    </row>
    <row r="31" spans="1:2">
      <c r="A31" s="4" t="s">
        <v>57</v>
      </c>
      <c r="B31" s="3">
        <v>130</v>
      </c>
    </row>
    <row r="32" spans="1:2">
      <c r="A32" s="4" t="s">
        <v>321</v>
      </c>
      <c r="B32" s="3">
        <v>131</v>
      </c>
    </row>
    <row r="33" spans="1:2">
      <c r="A33" s="5" t="s">
        <v>528</v>
      </c>
      <c r="B33" s="3">
        <v>131</v>
      </c>
    </row>
    <row r="34" spans="1:2" ht="24">
      <c r="A34" s="4" t="s">
        <v>317</v>
      </c>
      <c r="B34" s="3">
        <v>133</v>
      </c>
    </row>
    <row r="35" spans="1:2" ht="24">
      <c r="A35" s="4" t="s">
        <v>320</v>
      </c>
      <c r="B35" s="3">
        <v>133</v>
      </c>
    </row>
    <row r="36" spans="1:2">
      <c r="A36" s="4" t="s">
        <v>135</v>
      </c>
      <c r="B36" s="3">
        <v>135</v>
      </c>
    </row>
    <row r="37" spans="1:2">
      <c r="A37" s="4" t="s">
        <v>132</v>
      </c>
      <c r="B37" s="3">
        <v>136</v>
      </c>
    </row>
    <row r="38" spans="1:2">
      <c r="A38" s="5" t="s">
        <v>529</v>
      </c>
      <c r="B38" s="3">
        <v>137</v>
      </c>
    </row>
    <row r="39" spans="1:2">
      <c r="A39" s="4" t="s">
        <v>14</v>
      </c>
      <c r="B39" s="3">
        <v>138</v>
      </c>
    </row>
    <row r="40" spans="1:2">
      <c r="A40" s="5" t="s">
        <v>530</v>
      </c>
      <c r="B40" s="3">
        <v>139</v>
      </c>
    </row>
    <row r="41" spans="1:2">
      <c r="A41" s="5" t="s">
        <v>531</v>
      </c>
      <c r="B41" s="3">
        <v>140</v>
      </c>
    </row>
    <row r="42" spans="1:2">
      <c r="A42" s="4" t="s">
        <v>147</v>
      </c>
      <c r="B42" s="3">
        <v>141</v>
      </c>
    </row>
    <row r="43" spans="1:2" ht="24">
      <c r="A43" s="4" t="s">
        <v>328</v>
      </c>
      <c r="B43" s="3">
        <v>142</v>
      </c>
    </row>
    <row r="44" spans="1:2" ht="35.25">
      <c r="A44" s="5" t="s">
        <v>532</v>
      </c>
      <c r="B44" s="3">
        <v>142</v>
      </c>
    </row>
    <row r="45" spans="1:2">
      <c r="A45" s="5" t="s">
        <v>533</v>
      </c>
      <c r="B45" s="3">
        <v>144</v>
      </c>
    </row>
    <row r="46" spans="1:2">
      <c r="A46" s="5" t="s">
        <v>534</v>
      </c>
      <c r="B46" s="3">
        <v>145</v>
      </c>
    </row>
    <row r="47" spans="1:2">
      <c r="A47" s="5" t="s">
        <v>535</v>
      </c>
      <c r="B47" s="3">
        <v>146</v>
      </c>
    </row>
    <row r="48" spans="1:2">
      <c r="A48" s="5" t="s">
        <v>536</v>
      </c>
      <c r="B48" s="3">
        <v>146</v>
      </c>
    </row>
    <row r="49" spans="1:2">
      <c r="A49" s="4" t="s">
        <v>68</v>
      </c>
      <c r="B49" s="3">
        <v>148</v>
      </c>
    </row>
    <row r="50" spans="1:2">
      <c r="A50" s="5" t="s">
        <v>537</v>
      </c>
      <c r="B50" s="3">
        <v>149</v>
      </c>
    </row>
    <row r="51" spans="1:2">
      <c r="A51" s="5" t="s">
        <v>538</v>
      </c>
      <c r="B51" s="3">
        <v>150</v>
      </c>
    </row>
    <row r="52" spans="1:2">
      <c r="A52" s="5" t="s">
        <v>539</v>
      </c>
      <c r="B52" s="3">
        <v>151</v>
      </c>
    </row>
    <row r="53" spans="1:2">
      <c r="A53" s="4" t="s">
        <v>316</v>
      </c>
      <c r="B53" s="3">
        <v>152</v>
      </c>
    </row>
    <row r="54" spans="1:2">
      <c r="A54" s="5" t="s">
        <v>540</v>
      </c>
      <c r="B54" s="3">
        <v>153</v>
      </c>
    </row>
    <row r="55" spans="1:2">
      <c r="A55" s="5" t="s">
        <v>541</v>
      </c>
      <c r="B55" s="3">
        <v>154</v>
      </c>
    </row>
    <row r="56" spans="1:2">
      <c r="A56" s="5" t="s">
        <v>542</v>
      </c>
      <c r="B56" s="3">
        <v>154</v>
      </c>
    </row>
    <row r="57" spans="1:2">
      <c r="A57" s="5" t="s">
        <v>543</v>
      </c>
      <c r="B57" s="3">
        <v>156</v>
      </c>
    </row>
    <row r="58" spans="1:2">
      <c r="A58" s="4" t="s">
        <v>322</v>
      </c>
      <c r="B58" s="3">
        <v>157</v>
      </c>
    </row>
    <row r="59" spans="1:2">
      <c r="A59" s="5" t="s">
        <v>544</v>
      </c>
      <c r="B59" s="3">
        <v>158</v>
      </c>
    </row>
    <row r="60" spans="1:2">
      <c r="A60" s="5" t="s">
        <v>545</v>
      </c>
      <c r="B60" s="3">
        <v>159</v>
      </c>
    </row>
    <row r="61" spans="1:2">
      <c r="A61" s="5" t="s">
        <v>546</v>
      </c>
      <c r="B61" s="3">
        <v>159</v>
      </c>
    </row>
    <row r="62" spans="1:2">
      <c r="A62" s="5" t="s">
        <v>547</v>
      </c>
      <c r="B62" s="3">
        <v>169</v>
      </c>
    </row>
    <row r="63" spans="1:2">
      <c r="A63" s="4" t="s">
        <v>48</v>
      </c>
      <c r="B63" s="3">
        <v>162</v>
      </c>
    </row>
    <row r="64" spans="1:2">
      <c r="A64" s="4" t="s">
        <v>318</v>
      </c>
      <c r="B64" s="3">
        <v>163</v>
      </c>
    </row>
    <row r="65" spans="1:2">
      <c r="A65" s="5" t="s">
        <v>548</v>
      </c>
      <c r="B65" s="3">
        <v>164</v>
      </c>
    </row>
    <row r="66" spans="1:2">
      <c r="A66" s="5" t="s">
        <v>549</v>
      </c>
      <c r="B66" s="3">
        <v>165</v>
      </c>
    </row>
    <row r="67" spans="1:2">
      <c r="A67" s="5" t="s">
        <v>550</v>
      </c>
      <c r="B67" s="3">
        <v>166</v>
      </c>
    </row>
    <row r="68" spans="1:2" ht="24">
      <c r="A68" s="5" t="s">
        <v>551</v>
      </c>
      <c r="B68" s="3">
        <v>167</v>
      </c>
    </row>
    <row r="69" spans="1:2">
      <c r="A69" s="5" t="s">
        <v>552</v>
      </c>
      <c r="B69" s="3">
        <v>168</v>
      </c>
    </row>
    <row r="70" spans="1:2">
      <c r="A70" s="4" t="s">
        <v>324</v>
      </c>
      <c r="B70" s="3">
        <v>169</v>
      </c>
    </row>
    <row r="71" spans="1:2">
      <c r="A71" s="4" t="s">
        <v>329</v>
      </c>
      <c r="B71" s="3">
        <v>170</v>
      </c>
    </row>
    <row r="72" spans="1:2" ht="26.25">
      <c r="A72" s="7" t="s">
        <v>553</v>
      </c>
      <c r="B72" s="3">
        <v>170</v>
      </c>
    </row>
    <row r="73" spans="1:2">
      <c r="A73" s="5" t="s">
        <v>554</v>
      </c>
      <c r="B73" s="3">
        <v>170</v>
      </c>
    </row>
    <row r="74" spans="1:2" ht="35.25">
      <c r="A74" s="5" t="s">
        <v>555</v>
      </c>
      <c r="B74" s="3">
        <v>171</v>
      </c>
    </row>
    <row r="75" spans="1:2" ht="24">
      <c r="A75" s="5" t="s">
        <v>556</v>
      </c>
      <c r="B75" s="3">
        <v>174</v>
      </c>
    </row>
    <row r="76" spans="1:2">
      <c r="A76" s="4" t="s">
        <v>69</v>
      </c>
      <c r="B76" s="3">
        <v>175</v>
      </c>
    </row>
    <row r="77" spans="1:2">
      <c r="A77" s="5" t="s">
        <v>557</v>
      </c>
      <c r="B77" s="3">
        <v>176</v>
      </c>
    </row>
    <row r="78" spans="1:2">
      <c r="A78" s="4" t="s">
        <v>46</v>
      </c>
      <c r="B78" s="3">
        <v>177</v>
      </c>
    </row>
    <row r="79" spans="1:2" ht="24">
      <c r="A79" s="5" t="s">
        <v>558</v>
      </c>
      <c r="B79" s="3">
        <v>178</v>
      </c>
    </row>
    <row r="80" spans="1:2" ht="24">
      <c r="A80" s="5" t="s">
        <v>559</v>
      </c>
      <c r="B80" s="3">
        <v>179</v>
      </c>
    </row>
    <row r="81" spans="1:2" ht="24">
      <c r="A81" s="4" t="s">
        <v>327</v>
      </c>
      <c r="B81" s="3">
        <v>180</v>
      </c>
    </row>
    <row r="82" spans="1:2">
      <c r="A82" s="4" t="s">
        <v>134</v>
      </c>
      <c r="B82" s="3">
        <v>181</v>
      </c>
    </row>
    <row r="83" spans="1:2" ht="24">
      <c r="A83" s="5" t="s">
        <v>560</v>
      </c>
      <c r="B83" s="3">
        <v>182</v>
      </c>
    </row>
    <row r="84" spans="1:2" ht="35.25">
      <c r="A84" s="5" t="s">
        <v>561</v>
      </c>
      <c r="B84" s="3">
        <v>183</v>
      </c>
    </row>
    <row r="85" spans="1:2">
      <c r="A85" s="4" t="s">
        <v>159</v>
      </c>
      <c r="B85" s="3">
        <v>184</v>
      </c>
    </row>
    <row r="86" spans="1:2" ht="24">
      <c r="A86" s="5" t="s">
        <v>562</v>
      </c>
      <c r="B86" s="3">
        <v>185</v>
      </c>
    </row>
    <row r="87" spans="1:2">
      <c r="A87" s="5" t="s">
        <v>563</v>
      </c>
      <c r="B87" s="3">
        <v>186</v>
      </c>
    </row>
    <row r="88" spans="1:2" ht="24">
      <c r="A88" s="5" t="s">
        <v>564</v>
      </c>
      <c r="B88" s="3">
        <v>187</v>
      </c>
    </row>
    <row r="89" spans="1:2">
      <c r="A89" s="4" t="s">
        <v>41</v>
      </c>
      <c r="B89" s="3">
        <v>188</v>
      </c>
    </row>
    <row r="90" spans="1:2">
      <c r="A90" s="8" t="s">
        <v>319</v>
      </c>
      <c r="B90" s="3">
        <v>189</v>
      </c>
    </row>
    <row r="91" spans="1:2">
      <c r="A91" s="5" t="s">
        <v>565</v>
      </c>
      <c r="B91" s="3">
        <v>190</v>
      </c>
    </row>
    <row r="92" spans="1:2">
      <c r="A92" s="5" t="s">
        <v>566</v>
      </c>
      <c r="B92" s="3">
        <v>191</v>
      </c>
    </row>
    <row r="93" spans="1:2">
      <c r="A93" s="4" t="s">
        <v>323</v>
      </c>
      <c r="B93" s="3">
        <v>192</v>
      </c>
    </row>
    <row r="94" spans="1:2">
      <c r="A94" s="5" t="s">
        <v>567</v>
      </c>
      <c r="B94" s="3">
        <v>193</v>
      </c>
    </row>
    <row r="95" spans="1:2">
      <c r="A95" s="5" t="s">
        <v>568</v>
      </c>
      <c r="B95" s="3">
        <v>194</v>
      </c>
    </row>
    <row r="96" spans="1:2" ht="24">
      <c r="A96" s="5" t="s">
        <v>569</v>
      </c>
      <c r="B96" s="3">
        <v>195</v>
      </c>
    </row>
    <row r="97" spans="1:2">
      <c r="A97" s="4" t="s">
        <v>144</v>
      </c>
      <c r="B97" s="3">
        <v>196</v>
      </c>
    </row>
    <row r="98" spans="1:2">
      <c r="A98" s="4" t="s">
        <v>219</v>
      </c>
      <c r="B98" s="3">
        <v>197</v>
      </c>
    </row>
    <row r="99" spans="1:2">
      <c r="A99" s="5" t="s">
        <v>570</v>
      </c>
      <c r="B99" s="3">
        <v>198</v>
      </c>
    </row>
    <row r="100" spans="1:2">
      <c r="A100" s="5" t="s">
        <v>571</v>
      </c>
      <c r="B100" s="3">
        <v>199</v>
      </c>
    </row>
    <row r="101" spans="1:2">
      <c r="A101" s="5" t="s">
        <v>572</v>
      </c>
      <c r="B101" s="3">
        <v>200</v>
      </c>
    </row>
    <row r="102" spans="1:2">
      <c r="A102" s="5" t="s">
        <v>573</v>
      </c>
      <c r="B102" s="3">
        <v>201</v>
      </c>
    </row>
    <row r="103" spans="1:2">
      <c r="A103" s="5" t="s">
        <v>574</v>
      </c>
      <c r="B103" s="3">
        <v>202</v>
      </c>
    </row>
    <row r="104" spans="1:2">
      <c r="A104" s="5" t="s">
        <v>575</v>
      </c>
      <c r="B104" s="3">
        <v>203</v>
      </c>
    </row>
    <row r="105" spans="1:2">
      <c r="A105" s="5" t="s">
        <v>576</v>
      </c>
      <c r="B105" s="3">
        <v>203</v>
      </c>
    </row>
    <row r="106" spans="1:2">
      <c r="A106" s="4" t="s">
        <v>326</v>
      </c>
      <c r="B106" s="3">
        <v>205</v>
      </c>
    </row>
    <row r="107" spans="1:2">
      <c r="A107" s="5" t="s">
        <v>577</v>
      </c>
      <c r="B107" s="3">
        <v>206</v>
      </c>
    </row>
    <row r="108" spans="1:2">
      <c r="A108" s="4" t="s">
        <v>145</v>
      </c>
      <c r="B108" s="3">
        <v>207</v>
      </c>
    </row>
    <row r="109" spans="1:2">
      <c r="A109" s="4" t="s">
        <v>67</v>
      </c>
      <c r="B109" s="3">
        <v>207</v>
      </c>
    </row>
    <row r="110" spans="1:2">
      <c r="A110" s="5" t="s">
        <v>578</v>
      </c>
      <c r="B110" s="3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JAN 1285</vt:lpstr>
      <vt:lpstr>PETTY CASH JAN </vt:lpstr>
      <vt:lpstr>FEB 1285</vt:lpstr>
      <vt:lpstr>FEB PETTY CASH </vt:lpstr>
      <vt:lpstr>MARCH 1285</vt:lpstr>
      <vt:lpstr>APRIL 1285</vt:lpstr>
      <vt:lpstr>MAY 1285</vt:lpstr>
      <vt:lpstr>JUNE 1285</vt:lpstr>
      <vt:lpstr>JULY 1285</vt:lpstr>
      <vt:lpstr>AUG 1285</vt:lpstr>
      <vt:lpstr>SEPT 1285</vt:lpstr>
      <vt:lpstr>OCT 1285</vt:lpstr>
      <vt:lpstr>NOV 1285</vt:lpstr>
      <vt:lpstr>DEC 1285</vt:lpstr>
      <vt:lpstr>508 JAN</vt:lpstr>
      <vt:lpstr>508 FEB</vt:lpstr>
      <vt:lpstr>508 MARCH</vt:lpstr>
      <vt:lpstr>508 APRIL</vt:lpstr>
      <vt:lpstr>508 MAY</vt:lpstr>
      <vt:lpstr>508 JUNE</vt:lpstr>
      <vt:lpstr>508 JULY</vt:lpstr>
      <vt:lpstr>508 AUG</vt:lpstr>
      <vt:lpstr>508 SEPT</vt:lpstr>
      <vt:lpstr>508 OCT</vt:lpstr>
      <vt:lpstr>508 NOV</vt:lpstr>
      <vt:lpstr>508 DEC</vt:lpstr>
      <vt:lpstr>201 JAN</vt:lpstr>
      <vt:lpstr>201 FEB</vt:lpstr>
      <vt:lpstr>201 MAR</vt:lpstr>
      <vt:lpstr>201 APRIL</vt:lpstr>
      <vt:lpstr>201 MAY</vt:lpstr>
      <vt:lpstr>201 JUNE</vt:lpstr>
      <vt:lpstr>201  JULY</vt:lpstr>
      <vt:lpstr>AUGUST 201</vt:lpstr>
      <vt:lpstr>518 2026</vt:lpstr>
      <vt:lpstr>Sheet3</vt:lpstr>
      <vt:lpstr>Sheet4</vt:lpstr>
      <vt:lpstr>Sheet5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SGD</cp:lastModifiedBy>
  <cp:lastPrinted>2026-04-10T09:35:00Z</cp:lastPrinted>
  <dcterms:created xsi:type="dcterms:W3CDTF">2026-03-13T12:25:00Z</dcterms:created>
  <dcterms:modified xsi:type="dcterms:W3CDTF">2026-09-09T04:25:42Z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C343E790A6174F53A3156B6B0267BC38_12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